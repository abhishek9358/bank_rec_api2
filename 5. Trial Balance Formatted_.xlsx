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30240" windowHeight="13840"/>
  </bookViews>
  <sheets>
    <sheet name="TB Formatted" sheetId="4" r:id="rId1"/>
    <sheet name="TB OLD vs NEW" sheetId="5" state="hidden" r:id="rId2"/>
  </sheets>
  <definedNames>
    <definedName name="_xlnm._FilterDatabase" localSheetId="0" hidden="1">'TB Formatted'!$A$5:$E$16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<sst xmlns="http://schemas.openxmlformats.org/spreadsheetml/2006/main" count="6167" uniqueCount="954">
  <si>
    <t>Client Name:</t>
  </si>
  <si>
    <t>Pinoleville Pomo Nation</t>
  </si>
  <si>
    <t>Workpaper:</t>
  </si>
  <si>
    <t>TB_Formatted</t>
  </si>
  <si>
    <t>Fiscal Year End:</t>
  </si>
  <si>
    <t>Account Code</t>
  </si>
  <si>
    <t>Account Description</t>
  </si>
  <si>
    <t>Amount</t>
  </si>
  <si>
    <t>01-1002</t>
  </si>
  <si>
    <t>Cash in Bank- Umpqua 2275</t>
  </si>
  <si>
    <t>01-1006</t>
  </si>
  <si>
    <t>Cash in Bank -NAB OP 3274</t>
  </si>
  <si>
    <t>01-1007</t>
  </si>
  <si>
    <t>Cash in Bank -NAB Youth 0442</t>
  </si>
  <si>
    <t>01-1008</t>
  </si>
  <si>
    <t>Cash in Bank -NAB NLC 0327</t>
  </si>
  <si>
    <t>01-1010</t>
  </si>
  <si>
    <t>Cash in Bank -NAB Reserve 0376</t>
  </si>
  <si>
    <t>01-1015</t>
  </si>
  <si>
    <t>Cash in Bank -Umpqua 8181</t>
  </si>
  <si>
    <t>01-1020</t>
  </si>
  <si>
    <t>Cash In Bank -5323</t>
  </si>
  <si>
    <t>01-1030</t>
  </si>
  <si>
    <t>Cash in Bank -OB</t>
  </si>
  <si>
    <t>01-2015</t>
  </si>
  <si>
    <t>Cash Clearing</t>
  </si>
  <si>
    <t>10-1020</t>
  </si>
  <si>
    <t>10-2015</t>
  </si>
  <si>
    <t>Comparison- Old TB vs New TB</t>
  </si>
  <si>
    <t>Account String</t>
  </si>
  <si>
    <t>Account Title</t>
  </si>
  <si>
    <t>Old TB</t>
  </si>
  <si>
    <t>New TB</t>
  </si>
  <si>
    <t>Sum of Old TB</t>
  </si>
  <si>
    <t>Sum of New TB</t>
  </si>
  <si>
    <t>Variance</t>
  </si>
  <si>
    <t>Values</t>
  </si>
  <si>
    <t>01-1009</t>
  </si>
  <si>
    <t>Cash in Bank- Franklin Templet</t>
  </si>
  <si>
    <t>01-1990</t>
  </si>
  <si>
    <t>Cash Held For</t>
  </si>
  <si>
    <t>01-2000</t>
  </si>
  <si>
    <t>Accounts Payable</t>
  </si>
  <si>
    <t>01-2005</t>
  </si>
  <si>
    <t>Payroll Clearing</t>
  </si>
  <si>
    <t>01-2006</t>
  </si>
  <si>
    <t>01-2010</t>
  </si>
  <si>
    <t>Credit Card Clearing</t>
  </si>
  <si>
    <t>01-2022</t>
  </si>
  <si>
    <t>Accrued Interest Payable</t>
  </si>
  <si>
    <t>01-2025</t>
  </si>
  <si>
    <t>Accrued Payroll</t>
  </si>
  <si>
    <t>01-2100</t>
  </si>
  <si>
    <t>Accounts Payable -Intern Program</t>
  </si>
  <si>
    <t>01-2205</t>
  </si>
  <si>
    <t>Insurance Payable</t>
  </si>
  <si>
    <t>01-2210</t>
  </si>
  <si>
    <t>Colonial Life Payable</t>
  </si>
  <si>
    <t>01-2220</t>
  </si>
  <si>
    <t>IRA Payable</t>
  </si>
  <si>
    <t>01-2300</t>
  </si>
  <si>
    <t>Benefit Payable</t>
  </si>
  <si>
    <t>01-3000</t>
  </si>
  <si>
    <t>Net Assets</t>
  </si>
  <si>
    <t>01-3200</t>
  </si>
  <si>
    <t>Unassigned Fund Balance</t>
  </si>
  <si>
    <t>01-3210</t>
  </si>
  <si>
    <t>Committed Fund Balance</t>
  </si>
  <si>
    <t>01-4000</t>
  </si>
  <si>
    <t>Contract/Grant Income</t>
  </si>
  <si>
    <t>01-4005</t>
  </si>
  <si>
    <t>105 Lease Income</t>
  </si>
  <si>
    <t>01-4015</t>
  </si>
  <si>
    <t>Program reimbursement</t>
  </si>
  <si>
    <t>01-4020</t>
  </si>
  <si>
    <t>Insuance Claims</t>
  </si>
  <si>
    <t>01-4100</t>
  </si>
  <si>
    <t>Interest Income</t>
  </si>
  <si>
    <t>01-4200</t>
  </si>
  <si>
    <t>Contributions</t>
  </si>
  <si>
    <t>01-4205</t>
  </si>
  <si>
    <t>Parent Fund</t>
  </si>
  <si>
    <t>01-4110</t>
  </si>
  <si>
    <t>Dividend Income</t>
  </si>
  <si>
    <t>01-4210</t>
  </si>
  <si>
    <t>Sales</t>
  </si>
  <si>
    <t>01-4120</t>
  </si>
  <si>
    <t>(Gain)/Loss on Investment</t>
  </si>
  <si>
    <t>01-4215</t>
  </si>
  <si>
    <t>Cafe Income</t>
  </si>
  <si>
    <t>01-4300</t>
  </si>
  <si>
    <t>Other Income</t>
  </si>
  <si>
    <t>01-4310</t>
  </si>
  <si>
    <t>Refunds</t>
  </si>
  <si>
    <t>01-4320</t>
  </si>
  <si>
    <t>Opioid Funds</t>
  </si>
  <si>
    <t>01-4400</t>
  </si>
  <si>
    <t>Rent Income</t>
  </si>
  <si>
    <t>01-4450</t>
  </si>
  <si>
    <t>Storage Income</t>
  </si>
  <si>
    <t>01-4500</t>
  </si>
  <si>
    <t>Rev Shar Income</t>
  </si>
  <si>
    <t>01-4600</t>
  </si>
  <si>
    <t>Enterprise Income</t>
  </si>
  <si>
    <t>01-4700</t>
  </si>
  <si>
    <t>Special Events</t>
  </si>
  <si>
    <t>01-5000</t>
  </si>
  <si>
    <t>Salaries</t>
  </si>
  <si>
    <t>01-5005</t>
  </si>
  <si>
    <t>Payroll Taxes</t>
  </si>
  <si>
    <t>01-5010</t>
  </si>
  <si>
    <t>Fringe Benefits</t>
  </si>
  <si>
    <t>01-5025</t>
  </si>
  <si>
    <t>Stipends</t>
  </si>
  <si>
    <t>01-4900</t>
  </si>
  <si>
    <t>Proceeds of Debt Issuance</t>
  </si>
  <si>
    <t>01-5100</t>
  </si>
  <si>
    <t>Professional Services</t>
  </si>
  <si>
    <t>01-4999</t>
  </si>
  <si>
    <t>Contributions from CONL</t>
  </si>
  <si>
    <t>01-5110</t>
  </si>
  <si>
    <t>Contractual</t>
  </si>
  <si>
    <t>01-5150</t>
  </si>
  <si>
    <t>Audit</t>
  </si>
  <si>
    <t>01-5200</t>
  </si>
  <si>
    <t>Employment Cost</t>
  </si>
  <si>
    <t>01-5210</t>
  </si>
  <si>
    <t>Payroll/Bank Charges</t>
  </si>
  <si>
    <t>01-6000</t>
  </si>
  <si>
    <t>Supplies</t>
  </si>
  <si>
    <t>01-6005</t>
  </si>
  <si>
    <t>IT Cost - Software</t>
  </si>
  <si>
    <t>01-6006</t>
  </si>
  <si>
    <t>IT Cost - Hardware</t>
  </si>
  <si>
    <t>01-6007</t>
  </si>
  <si>
    <t>IT Cost - Software Subscription</t>
  </si>
  <si>
    <t>01-6010</t>
  </si>
  <si>
    <t>Subscriptions</t>
  </si>
  <si>
    <t>01-6012</t>
  </si>
  <si>
    <t>Publications and Books</t>
  </si>
  <si>
    <t>01-6015</t>
  </si>
  <si>
    <t>Advertising/Marketing</t>
  </si>
  <si>
    <t>01-6020</t>
  </si>
  <si>
    <t>Communications</t>
  </si>
  <si>
    <t>01-6030</t>
  </si>
  <si>
    <t>Space Cost</t>
  </si>
  <si>
    <t>01-6035</t>
  </si>
  <si>
    <t>Utilities</t>
  </si>
  <si>
    <t>01-6040</t>
  </si>
  <si>
    <t>Printing/Repro</t>
  </si>
  <si>
    <t>01-6045</t>
  </si>
  <si>
    <t>Postage/Mailings</t>
  </si>
  <si>
    <t>01-6050</t>
  </si>
  <si>
    <t>Insurance</t>
  </si>
  <si>
    <t>01-6060</t>
  </si>
  <si>
    <t>Property Taxes/Fines</t>
  </si>
  <si>
    <t>01-6066</t>
  </si>
  <si>
    <t>Membership Fee</t>
  </si>
  <si>
    <t>01-6070</t>
  </si>
  <si>
    <t>Interest</t>
  </si>
  <si>
    <t>01-6100</t>
  </si>
  <si>
    <t>Equipment</t>
  </si>
  <si>
    <t>01-6115</t>
  </si>
  <si>
    <t>Equipment Rental/Leases</t>
  </si>
  <si>
    <t>01-6200</t>
  </si>
  <si>
    <t>Facility Repairs/Maint</t>
  </si>
  <si>
    <t>01-6215</t>
  </si>
  <si>
    <t>Janitorial Services/Expenses</t>
  </si>
  <si>
    <t>01-6250</t>
  </si>
  <si>
    <t>Land Maint/Upkeep</t>
  </si>
  <si>
    <t>01-6260</t>
  </si>
  <si>
    <t>Outdoor Materials/Tools</t>
  </si>
  <si>
    <t>01-6080</t>
  </si>
  <si>
    <t>Principal Expense</t>
  </si>
  <si>
    <t>01-6300</t>
  </si>
  <si>
    <t>Travel</t>
  </si>
  <si>
    <t>01-6310</t>
  </si>
  <si>
    <t>Training</t>
  </si>
  <si>
    <t>01-6320</t>
  </si>
  <si>
    <t>Vehicle Cost</t>
  </si>
  <si>
    <t>01-6400</t>
  </si>
  <si>
    <t>Miscellaneous</t>
  </si>
  <si>
    <t>01-6410</t>
  </si>
  <si>
    <t>Funeral Expenses</t>
  </si>
  <si>
    <t>01-6500</t>
  </si>
  <si>
    <t>Food</t>
  </si>
  <si>
    <t>01-6505</t>
  </si>
  <si>
    <t>Education Expense</t>
  </si>
  <si>
    <t>01-6510</t>
  </si>
  <si>
    <t>Household</t>
  </si>
  <si>
    <t>01-6520</t>
  </si>
  <si>
    <t>Clothing</t>
  </si>
  <si>
    <t>01-6540</t>
  </si>
  <si>
    <t>Cultural/Native Support</t>
  </si>
  <si>
    <t>01-6600</t>
  </si>
  <si>
    <t>Parent Activities</t>
  </si>
  <si>
    <t>01-6610</t>
  </si>
  <si>
    <t>Youth Activities</t>
  </si>
  <si>
    <t>01-6620</t>
  </si>
  <si>
    <t>01-6700</t>
  </si>
  <si>
    <t>Medical/Health Services.</t>
  </si>
  <si>
    <t>01-6810</t>
  </si>
  <si>
    <t>Social, Emotional &amp; Mental Hlth</t>
  </si>
  <si>
    <t>01-6840</t>
  </si>
  <si>
    <t>Transportation Assistance</t>
  </si>
  <si>
    <t>01-6950</t>
  </si>
  <si>
    <t>CC Activity</t>
  </si>
  <si>
    <t>01-7000</t>
  </si>
  <si>
    <t>Child Assistance</t>
  </si>
  <si>
    <t>01-7050</t>
  </si>
  <si>
    <t>Citizen Support Services</t>
  </si>
  <si>
    <t>01-7900</t>
  </si>
  <si>
    <t>Indirect Cost Allocation</t>
  </si>
  <si>
    <t>01-8015</t>
  </si>
  <si>
    <t>Septic/Sewer</t>
  </si>
  <si>
    <t>01-8020</t>
  </si>
  <si>
    <t>Housing Assistance</t>
  </si>
  <si>
    <t>01-8030</t>
  </si>
  <si>
    <t>Site Dev/Improvement</t>
  </si>
  <si>
    <t>01-8035</t>
  </si>
  <si>
    <t>Housing Rehabilitation</t>
  </si>
  <si>
    <t>01-8050</t>
  </si>
  <si>
    <t>Land Improvement</t>
  </si>
  <si>
    <t>01-8060</t>
  </si>
  <si>
    <t>Emergency</t>
  </si>
  <si>
    <t>02-1990</t>
  </si>
  <si>
    <t>02-2006</t>
  </si>
  <si>
    <t>02-2500</t>
  </si>
  <si>
    <t>Deferred</t>
  </si>
  <si>
    <t>02-4000</t>
  </si>
  <si>
    <t>02-5000</t>
  </si>
  <si>
    <t>02-5005</t>
  </si>
  <si>
    <t>02-5010</t>
  </si>
  <si>
    <t>01-9520</t>
  </si>
  <si>
    <t>Litigation/settlements</t>
  </si>
  <si>
    <t>02-5025</t>
  </si>
  <si>
    <t>02-5100</t>
  </si>
  <si>
    <t>02-5110</t>
  </si>
  <si>
    <t>02-5200</t>
  </si>
  <si>
    <t>02-6000</t>
  </si>
  <si>
    <t>02-6005</t>
  </si>
  <si>
    <t>02-6006</t>
  </si>
  <si>
    <t>02-6020</t>
  </si>
  <si>
    <t>02-6030</t>
  </si>
  <si>
    <t>02-6035</t>
  </si>
  <si>
    <t>02-6040</t>
  </si>
  <si>
    <t>02-6045</t>
  </si>
  <si>
    <t>02-6050</t>
  </si>
  <si>
    <t>02-6065</t>
  </si>
  <si>
    <t>License/Permit Fee</t>
  </si>
  <si>
    <t>02-6100</t>
  </si>
  <si>
    <t>02-6110</t>
  </si>
  <si>
    <t>Equipment Repair/Maint</t>
  </si>
  <si>
    <t>02-6200</t>
  </si>
  <si>
    <t>02-6215</t>
  </si>
  <si>
    <t>02-6250</t>
  </si>
  <si>
    <t>02-6260</t>
  </si>
  <si>
    <t>02-6300</t>
  </si>
  <si>
    <t>02-6310</t>
  </si>
  <si>
    <t>02-6315</t>
  </si>
  <si>
    <t>Meeting/Conference Cost</t>
  </si>
  <si>
    <t>02-6320</t>
  </si>
  <si>
    <t>02-6410</t>
  </si>
  <si>
    <t>02-6500</t>
  </si>
  <si>
    <t>02-6505</t>
  </si>
  <si>
    <t>02-6506</t>
  </si>
  <si>
    <t>Lab Expenses</t>
  </si>
  <si>
    <t>02-6520</t>
  </si>
  <si>
    <t>02-6610</t>
  </si>
  <si>
    <t>02-6800</t>
  </si>
  <si>
    <t>Energy Assistance</t>
  </si>
  <si>
    <t>02-7050</t>
  </si>
  <si>
    <t>02-8015</t>
  </si>
  <si>
    <t>02-8020</t>
  </si>
  <si>
    <t>02-9000</t>
  </si>
  <si>
    <t>Indirect Cost</t>
  </si>
  <si>
    <t>03-1250</t>
  </si>
  <si>
    <t>Contract/Grant Receivable</t>
  </si>
  <si>
    <t>03-1990</t>
  </si>
  <si>
    <t>03-2006</t>
  </si>
  <si>
    <t>03-4000</t>
  </si>
  <si>
    <t>03-5000</t>
  </si>
  <si>
    <t>03-5005</t>
  </si>
  <si>
    <t>03-5100</t>
  </si>
  <si>
    <t>03-6000</t>
  </si>
  <si>
    <t>03-6003</t>
  </si>
  <si>
    <t>Classroom Program Supplies</t>
  </si>
  <si>
    <t>03-6010</t>
  </si>
  <si>
    <t>03-6012</t>
  </si>
  <si>
    <t>03-6310</t>
  </si>
  <si>
    <t>04-1990</t>
  </si>
  <si>
    <t>04-2006</t>
  </si>
  <si>
    <t>04-2500</t>
  </si>
  <si>
    <t>03-5200</t>
  </si>
  <si>
    <t>04-4000</t>
  </si>
  <si>
    <t>04-6800</t>
  </si>
  <si>
    <t>04-9000</t>
  </si>
  <si>
    <t>05-1990</t>
  </si>
  <si>
    <t>05-2006</t>
  </si>
  <si>
    <t>05-2500</t>
  </si>
  <si>
    <t>05-4000</t>
  </si>
  <si>
    <t>05-4010</t>
  </si>
  <si>
    <t>Program Income</t>
  </si>
  <si>
    <t>05-5000</t>
  </si>
  <si>
    <t>05-5005</t>
  </si>
  <si>
    <t>05-5010</t>
  </si>
  <si>
    <t>05-5025</t>
  </si>
  <si>
    <t>05-6000</t>
  </si>
  <si>
    <t>05-6001</t>
  </si>
  <si>
    <t>Medical Supplies</t>
  </si>
  <si>
    <t>05-6003</t>
  </si>
  <si>
    <t>05-6004</t>
  </si>
  <si>
    <t>Cleaning Supplies</t>
  </si>
  <si>
    <t>05-6050</t>
  </si>
  <si>
    <t>05-6200</t>
  </si>
  <si>
    <t>05-6260</t>
  </si>
  <si>
    <t>05-6300</t>
  </si>
  <si>
    <t>05-6310</t>
  </si>
  <si>
    <t>05-6320</t>
  </si>
  <si>
    <t>05-6500</t>
  </si>
  <si>
    <t>05-6505</t>
  </si>
  <si>
    <t>07-1250</t>
  </si>
  <si>
    <t>07-1990</t>
  </si>
  <si>
    <t>07-4000</t>
  </si>
  <si>
    <t>07-5000</t>
  </si>
  <si>
    <t>07-5005</t>
  </si>
  <si>
    <t>07-5010</t>
  </si>
  <si>
    <t>07-6000</t>
  </si>
  <si>
    <t>07-6020</t>
  </si>
  <si>
    <t>07-6035</t>
  </si>
  <si>
    <t>07-6050</t>
  </si>
  <si>
    <t>07-9000</t>
  </si>
  <si>
    <t>08-1250</t>
  </si>
  <si>
    <t>08-1990</t>
  </si>
  <si>
    <t>08-2006</t>
  </si>
  <si>
    <t>08-4000</t>
  </si>
  <si>
    <t>08-5000</t>
  </si>
  <si>
    <t>08-5005</t>
  </si>
  <si>
    <t>08-5010</t>
  </si>
  <si>
    <t>08-6000</t>
  </si>
  <si>
    <t>08-6005</t>
  </si>
  <si>
    <t>08-6020</t>
  </si>
  <si>
    <t>08-6035</t>
  </si>
  <si>
    <t>08-6050</t>
  </si>
  <si>
    <t>08-6100</t>
  </si>
  <si>
    <t>08-6105</t>
  </si>
  <si>
    <t>Equipment- Non Cap</t>
  </si>
  <si>
    <t>08-6260</t>
  </si>
  <si>
    <t>08-6300</t>
  </si>
  <si>
    <t>08-6320</t>
  </si>
  <si>
    <t>08-9000</t>
  </si>
  <si>
    <t>09-1250</t>
  </si>
  <si>
    <t>09-1990</t>
  </si>
  <si>
    <t>09-2006</t>
  </si>
  <si>
    <t>09-4000</t>
  </si>
  <si>
    <t>09-5000</t>
  </si>
  <si>
    <t>09-5005</t>
  </si>
  <si>
    <t>09-5010</t>
  </si>
  <si>
    <t>09-5100</t>
  </si>
  <si>
    <t>09-5110</t>
  </si>
  <si>
    <t>09-5200</t>
  </si>
  <si>
    <t>09-6000</t>
  </si>
  <si>
    <t>09-6005</t>
  </si>
  <si>
    <t>09-6006</t>
  </si>
  <si>
    <t>09-6007</t>
  </si>
  <si>
    <t>09-6020</t>
  </si>
  <si>
    <t>09-6035</t>
  </si>
  <si>
    <t>09-6050</t>
  </si>
  <si>
    <t>09-6115</t>
  </si>
  <si>
    <t>09-6200</t>
  </si>
  <si>
    <t>09-6300</t>
  </si>
  <si>
    <t>09-6310</t>
  </si>
  <si>
    <t>09-6320</t>
  </si>
  <si>
    <t>09-6505</t>
  </si>
  <si>
    <t>09-6540</t>
  </si>
  <si>
    <t>09-6610</t>
  </si>
  <si>
    <t>09-8080</t>
  </si>
  <si>
    <t>Outreach Activities</t>
  </si>
  <si>
    <t>09-6070</t>
  </si>
  <si>
    <t>09-9000</t>
  </si>
  <si>
    <t>09-6080</t>
  </si>
  <si>
    <t>10-1990</t>
  </si>
  <si>
    <t>10-2000</t>
  </si>
  <si>
    <t>10-2006</t>
  </si>
  <si>
    <t>10-2020</t>
  </si>
  <si>
    <t>Accrued Expenses</t>
  </si>
  <si>
    <t>10-2205</t>
  </si>
  <si>
    <t>10-2500</t>
  </si>
  <si>
    <t>10-4000</t>
  </si>
  <si>
    <t>10-5000</t>
  </si>
  <si>
    <t>10-5005</t>
  </si>
  <si>
    <t>10-5010</t>
  </si>
  <si>
    <t>10-5025</t>
  </si>
  <si>
    <t>10-5100</t>
  </si>
  <si>
    <t>10-5110</t>
  </si>
  <si>
    <t>10-5200</t>
  </si>
  <si>
    <t>10-6000</t>
  </si>
  <si>
    <t>10-6005</t>
  </si>
  <si>
    <t>10-6006</t>
  </si>
  <si>
    <t>10-6007</t>
  </si>
  <si>
    <t>10-6010</t>
  </si>
  <si>
    <t>10-6012</t>
  </si>
  <si>
    <t>10-6020</t>
  </si>
  <si>
    <t>10-5020</t>
  </si>
  <si>
    <t>Casual Labor</t>
  </si>
  <si>
    <t>10-6030</t>
  </si>
  <si>
    <t>10-6035</t>
  </si>
  <si>
    <t>10-6050</t>
  </si>
  <si>
    <t>10-6066</t>
  </si>
  <si>
    <t>10-6115</t>
  </si>
  <si>
    <t>10-6260</t>
  </si>
  <si>
    <t>10-6300</t>
  </si>
  <si>
    <t>10-6310</t>
  </si>
  <si>
    <t>10-6320</t>
  </si>
  <si>
    <t>10-6500</t>
  </si>
  <si>
    <t>10-6505</t>
  </si>
  <si>
    <t>10-6525</t>
  </si>
  <si>
    <t>Incentives</t>
  </si>
  <si>
    <t>10-6610</t>
  </si>
  <si>
    <t>10-6620</t>
  </si>
  <si>
    <t>10-6710</t>
  </si>
  <si>
    <t>Nutrition</t>
  </si>
  <si>
    <t>10-7210</t>
  </si>
  <si>
    <t>Summer Academy</t>
  </si>
  <si>
    <t>10-6100</t>
  </si>
  <si>
    <t>10-8080</t>
  </si>
  <si>
    <t>10-9000</t>
  </si>
  <si>
    <t>11-4000</t>
  </si>
  <si>
    <t>11-5000</t>
  </si>
  <si>
    <t>11-5005</t>
  </si>
  <si>
    <t>11-8025</t>
  </si>
  <si>
    <t>Rental Assistance</t>
  </si>
  <si>
    <t>12-1990</t>
  </si>
  <si>
    <t>12-2006</t>
  </si>
  <si>
    <t>12-2500</t>
  </si>
  <si>
    <t>12-4000</t>
  </si>
  <si>
    <t>12-6006</t>
  </si>
  <si>
    <t>13-1990</t>
  </si>
  <si>
    <t>13-2006</t>
  </si>
  <si>
    <t>13-2500</t>
  </si>
  <si>
    <t>13-4000</t>
  </si>
  <si>
    <t>13-6500</t>
  </si>
  <si>
    <t>14-1250</t>
  </si>
  <si>
    <t>14-1990</t>
  </si>
  <si>
    <t>14-2006</t>
  </si>
  <si>
    <t>14-2205</t>
  </si>
  <si>
    <t>14-4000</t>
  </si>
  <si>
    <t>14-5000</t>
  </si>
  <si>
    <t>14-5005</t>
  </si>
  <si>
    <t>14-5010</t>
  </si>
  <si>
    <t>12-6100</t>
  </si>
  <si>
    <t>14-5100</t>
  </si>
  <si>
    <t>12-8030</t>
  </si>
  <si>
    <t>14-5110</t>
  </si>
  <si>
    <t>14-5200</t>
  </si>
  <si>
    <t>14-6000</t>
  </si>
  <si>
    <t>14-6001</t>
  </si>
  <si>
    <t>14-6002</t>
  </si>
  <si>
    <t>Pandemic Supplies</t>
  </si>
  <si>
    <t>14-6003</t>
  </si>
  <si>
    <t>14-6020</t>
  </si>
  <si>
    <t>14-6035</t>
  </si>
  <si>
    <t>14-6040</t>
  </si>
  <si>
    <t>14-6050</t>
  </si>
  <si>
    <t>14-6065</t>
  </si>
  <si>
    <t>14-6100</t>
  </si>
  <si>
    <t>14-6115</t>
  </si>
  <si>
    <t>14-6200</t>
  </si>
  <si>
    <t>14-6210</t>
  </si>
  <si>
    <t>Facility Security</t>
  </si>
  <si>
    <t>14-6215</t>
  </si>
  <si>
    <t>14-6260</t>
  </si>
  <si>
    <t>14-6300</t>
  </si>
  <si>
    <t>14-6310</t>
  </si>
  <si>
    <t>14-6320</t>
  </si>
  <si>
    <t>14-6506</t>
  </si>
  <si>
    <t>14-6600</t>
  </si>
  <si>
    <t>14-6620</t>
  </si>
  <si>
    <t>14-9000</t>
  </si>
  <si>
    <t>15-1250</t>
  </si>
  <si>
    <t>15-1990</t>
  </si>
  <si>
    <t>15-2006</t>
  </si>
  <si>
    <t>15-2205</t>
  </si>
  <si>
    <t>15-4000</t>
  </si>
  <si>
    <t>15-5000</t>
  </si>
  <si>
    <t>15-5005</t>
  </si>
  <si>
    <t>15-5010</t>
  </si>
  <si>
    <t>15-5100</t>
  </si>
  <si>
    <t>15-5110</t>
  </si>
  <si>
    <t>15-5200</t>
  </si>
  <si>
    <t>15-6000</t>
  </si>
  <si>
    <t>15-6003</t>
  </si>
  <si>
    <t>15-6005</t>
  </si>
  <si>
    <t>15-6006</t>
  </si>
  <si>
    <t>15-6012</t>
  </si>
  <si>
    <t>15-6015</t>
  </si>
  <si>
    <t>15-6020</t>
  </si>
  <si>
    <t>15-6035</t>
  </si>
  <si>
    <t>15-6040</t>
  </si>
  <si>
    <t>15-6050</t>
  </si>
  <si>
    <t>15-6065</t>
  </si>
  <si>
    <t>15-6100</t>
  </si>
  <si>
    <t>15-6200</t>
  </si>
  <si>
    <t>15-6215</t>
  </si>
  <si>
    <t>15-6260</t>
  </si>
  <si>
    <t>15-6300</t>
  </si>
  <si>
    <t>15-6310</t>
  </si>
  <si>
    <t>15-6320</t>
  </si>
  <si>
    <t>15-6505</t>
  </si>
  <si>
    <t>15-6506</t>
  </si>
  <si>
    <t>15-6530</t>
  </si>
  <si>
    <t>Tuition</t>
  </si>
  <si>
    <t>15-6600</t>
  </si>
  <si>
    <t>15-9000</t>
  </si>
  <si>
    <t>16-1250</t>
  </si>
  <si>
    <t>16-1990</t>
  </si>
  <si>
    <t>16-2006</t>
  </si>
  <si>
    <t>16-4000</t>
  </si>
  <si>
    <t>16-5000</t>
  </si>
  <si>
    <t>16-5005</t>
  </si>
  <si>
    <t>16-5010</t>
  </si>
  <si>
    <t>16-5110</t>
  </si>
  <si>
    <t>16-6000</t>
  </si>
  <si>
    <t>16-6005</t>
  </si>
  <si>
    <t>16-6006</t>
  </si>
  <si>
    <t>16-6012</t>
  </si>
  <si>
    <t>16-6020</t>
  </si>
  <si>
    <t>16-6035</t>
  </si>
  <si>
    <t>15-8035</t>
  </si>
  <si>
    <t>16-6050</t>
  </si>
  <si>
    <t>15-8045</t>
  </si>
  <si>
    <t>Fencing</t>
  </si>
  <si>
    <t>16-6200</t>
  </si>
  <si>
    <t>16-6260</t>
  </si>
  <si>
    <t>16-6270</t>
  </si>
  <si>
    <t>Gardening Supplies</t>
  </si>
  <si>
    <t>16-6300</t>
  </si>
  <si>
    <t>16-6320</t>
  </si>
  <si>
    <t>16-6506</t>
  </si>
  <si>
    <t>16-6605</t>
  </si>
  <si>
    <t>Committee Expenses</t>
  </si>
  <si>
    <t>16-8055</t>
  </si>
  <si>
    <t>Prevention/Safety</t>
  </si>
  <si>
    <t>16-8080</t>
  </si>
  <si>
    <t>16-9000</t>
  </si>
  <si>
    <t>17-1990</t>
  </si>
  <si>
    <t>17-2006</t>
  </si>
  <si>
    <t>17-2500</t>
  </si>
  <si>
    <t>17-4000</t>
  </si>
  <si>
    <t>17-5000</t>
  </si>
  <si>
    <t>17-5005</t>
  </si>
  <si>
    <t>17-5010</t>
  </si>
  <si>
    <t>16-6100</t>
  </si>
  <si>
    <t>17-6000</t>
  </si>
  <si>
    <t>17-6005</t>
  </si>
  <si>
    <t>17-6010</t>
  </si>
  <si>
    <t>17-6035</t>
  </si>
  <si>
    <t>17-6050</t>
  </si>
  <si>
    <t>17-6200</t>
  </si>
  <si>
    <t>17-6210</t>
  </si>
  <si>
    <t>17-6300</t>
  </si>
  <si>
    <t>17-6320</t>
  </si>
  <si>
    <t>17-6500</t>
  </si>
  <si>
    <t>17-6610</t>
  </si>
  <si>
    <t>17-7000</t>
  </si>
  <si>
    <t>17-8080</t>
  </si>
  <si>
    <t>18-1990</t>
  </si>
  <si>
    <t>18-2500</t>
  </si>
  <si>
    <t>18-4000</t>
  </si>
  <si>
    <t>18-5000</t>
  </si>
  <si>
    <t>18-5005</t>
  </si>
  <si>
    <t>18-5010</t>
  </si>
  <si>
    <t>18-5110</t>
  </si>
  <si>
    <t>18-6000</t>
  </si>
  <si>
    <t>18-6020</t>
  </si>
  <si>
    <t>18-6035</t>
  </si>
  <si>
    <t>17-6100</t>
  </si>
  <si>
    <t>18-6050</t>
  </si>
  <si>
    <t>18-6065</t>
  </si>
  <si>
    <t>18-6200</t>
  </si>
  <si>
    <t>18-6215</t>
  </si>
  <si>
    <t>18-6300</t>
  </si>
  <si>
    <t>18-6320</t>
  </si>
  <si>
    <t>18-6700</t>
  </si>
  <si>
    <t>18-9000</t>
  </si>
  <si>
    <t>17-8030</t>
  </si>
  <si>
    <t>20-1250</t>
  </si>
  <si>
    <t>20-1990</t>
  </si>
  <si>
    <t>20-2006</t>
  </si>
  <si>
    <t>20-2205</t>
  </si>
  <si>
    <t>20-3000</t>
  </si>
  <si>
    <t>20-4000</t>
  </si>
  <si>
    <t>20-4400</t>
  </si>
  <si>
    <t>20-5000</t>
  </si>
  <si>
    <t>20-5005</t>
  </si>
  <si>
    <t>20-5010</t>
  </si>
  <si>
    <t>20-5100</t>
  </si>
  <si>
    <t>20-5200</t>
  </si>
  <si>
    <t>20-6000</t>
  </si>
  <si>
    <t>20-6001</t>
  </si>
  <si>
    <t>20-6002</t>
  </si>
  <si>
    <t>20-6005</t>
  </si>
  <si>
    <t>20-6020</t>
  </si>
  <si>
    <t>20-6035</t>
  </si>
  <si>
    <t>20-6045</t>
  </si>
  <si>
    <t>20-6050</t>
  </si>
  <si>
    <t>20-6200</t>
  </si>
  <si>
    <t>20-6300</t>
  </si>
  <si>
    <t>20-6315</t>
  </si>
  <si>
    <t>20-6320</t>
  </si>
  <si>
    <t>20-6610</t>
  </si>
  <si>
    <t>20-8040</t>
  </si>
  <si>
    <t>Construction</t>
  </si>
  <si>
    <t>20-9000</t>
  </si>
  <si>
    <t>21-1250</t>
  </si>
  <si>
    <t>21-1990</t>
  </si>
  <si>
    <t>21-2006</t>
  </si>
  <si>
    <t>21-4000</t>
  </si>
  <si>
    <t>21-5000</t>
  </si>
  <si>
    <t>21-5005</t>
  </si>
  <si>
    <t>21-5010</t>
  </si>
  <si>
    <t>21-5100</t>
  </si>
  <si>
    <t>21-5110</t>
  </si>
  <si>
    <t>21-5200</t>
  </si>
  <si>
    <t>21-6000</t>
  </si>
  <si>
    <t>21-6005</t>
  </si>
  <si>
    <t>21-6006</t>
  </si>
  <si>
    <t>20-6100</t>
  </si>
  <si>
    <t>21-6020</t>
  </si>
  <si>
    <t>21-6030</t>
  </si>
  <si>
    <t>21-6035</t>
  </si>
  <si>
    <t>21-6040</t>
  </si>
  <si>
    <t>21-6045</t>
  </si>
  <si>
    <t>21-6050</t>
  </si>
  <si>
    <t>20-8030</t>
  </si>
  <si>
    <t>21-6065</t>
  </si>
  <si>
    <t>20-8035</t>
  </si>
  <si>
    <t>21-6105</t>
  </si>
  <si>
    <t>21-6200</t>
  </si>
  <si>
    <t>21-6215</t>
  </si>
  <si>
    <t>21-6300</t>
  </si>
  <si>
    <t>21-6310</t>
  </si>
  <si>
    <t>21-6315</t>
  </si>
  <si>
    <t>21-6320</t>
  </si>
  <si>
    <t>21-7100</t>
  </si>
  <si>
    <t>Client Services</t>
  </si>
  <si>
    <t>21-8080</t>
  </si>
  <si>
    <t>21-9000</t>
  </si>
  <si>
    <t>22-1250</t>
  </si>
  <si>
    <t>22-1990</t>
  </si>
  <si>
    <t>22-2006</t>
  </si>
  <si>
    <t>22-4000</t>
  </si>
  <si>
    <t>22-5000</t>
  </si>
  <si>
    <t>22-5005</t>
  </si>
  <si>
    <t>22-5010</t>
  </si>
  <si>
    <t>22-5100</t>
  </si>
  <si>
    <t>22-5110</t>
  </si>
  <si>
    <t>22-6000</t>
  </si>
  <si>
    <t>22-6001</t>
  </si>
  <si>
    <t>22-6002</t>
  </si>
  <si>
    <t>22-6003</t>
  </si>
  <si>
    <t>21-6080</t>
  </si>
  <si>
    <t>22-6005</t>
  </si>
  <si>
    <t>22-6010</t>
  </si>
  <si>
    <t>22-6020</t>
  </si>
  <si>
    <t>22-6035</t>
  </si>
  <si>
    <t>22-6050</t>
  </si>
  <si>
    <t>22-6110</t>
  </si>
  <si>
    <t>22-6200</t>
  </si>
  <si>
    <t>22-6215</t>
  </si>
  <si>
    <t>22-6300</t>
  </si>
  <si>
    <t>22-6310</t>
  </si>
  <si>
    <t>22-6500</t>
  </si>
  <si>
    <t>22-6505</t>
  </si>
  <si>
    <t>22-6525</t>
  </si>
  <si>
    <t>22-6610</t>
  </si>
  <si>
    <t>22-8080</t>
  </si>
  <si>
    <t>22-9000</t>
  </si>
  <si>
    <t>23-1990</t>
  </si>
  <si>
    <t>23-2205</t>
  </si>
  <si>
    <t>23-4000</t>
  </si>
  <si>
    <t>23-5000</t>
  </si>
  <si>
    <t>23-5005</t>
  </si>
  <si>
    <t>23-5010</t>
  </si>
  <si>
    <t>23-5025</t>
  </si>
  <si>
    <t>23-5100</t>
  </si>
  <si>
    <t>23-5110</t>
  </si>
  <si>
    <t>23-6000</t>
  </si>
  <si>
    <t>23-6006</t>
  </si>
  <si>
    <t>23-6020</t>
  </si>
  <si>
    <t>23-6050</t>
  </si>
  <si>
    <t>23-6065</t>
  </si>
  <si>
    <t>23-6100</t>
  </si>
  <si>
    <t>23-6310</t>
  </si>
  <si>
    <t>23-9000</t>
  </si>
  <si>
    <t>24-1250</t>
  </si>
  <si>
    <t>24-1990</t>
  </si>
  <si>
    <t>24-2006</t>
  </si>
  <si>
    <t>24-4000</t>
  </si>
  <si>
    <t>24-5000</t>
  </si>
  <si>
    <t>24-5005</t>
  </si>
  <si>
    <t>24-5010</t>
  </si>
  <si>
    <t>24-5025</t>
  </si>
  <si>
    <t>24-5200</t>
  </si>
  <si>
    <t>24-6000</t>
  </si>
  <si>
    <t>24-6005</t>
  </si>
  <si>
    <t>24-6010</t>
  </si>
  <si>
    <t>24-6015</t>
  </si>
  <si>
    <t>24-6035</t>
  </si>
  <si>
    <t>24-6050</t>
  </si>
  <si>
    <t>24-6200</t>
  </si>
  <si>
    <t>24-6210</t>
  </si>
  <si>
    <t>24-6300</t>
  </si>
  <si>
    <t>24-6310</t>
  </si>
  <si>
    <t>24-6320</t>
  </si>
  <si>
    <t>24-6500</t>
  </si>
  <si>
    <t>24-6610</t>
  </si>
  <si>
    <t>24-9000</t>
  </si>
  <si>
    <t>26-1250</t>
  </si>
  <si>
    <t>26-1990</t>
  </si>
  <si>
    <t>26-2006</t>
  </si>
  <si>
    <t>26-4000</t>
  </si>
  <si>
    <t>26-5000</t>
  </si>
  <si>
    <t>26-5005</t>
  </si>
  <si>
    <t>26-5010</t>
  </si>
  <si>
    <t>26-5100</t>
  </si>
  <si>
    <t>26-6000</t>
  </si>
  <si>
    <t>26-6005</t>
  </si>
  <si>
    <t>26-6012</t>
  </si>
  <si>
    <t>26-6035</t>
  </si>
  <si>
    <t>26-6050</t>
  </si>
  <si>
    <t>26-6210</t>
  </si>
  <si>
    <t>26-6300</t>
  </si>
  <si>
    <t>26-6310</t>
  </si>
  <si>
    <t>26-6320</t>
  </si>
  <si>
    <t>26-6500</t>
  </si>
  <si>
    <t>26-6510</t>
  </si>
  <si>
    <t>26-6610</t>
  </si>
  <si>
    <t>26-9000</t>
  </si>
  <si>
    <t>28-1250</t>
  </si>
  <si>
    <t>28-1990</t>
  </si>
  <si>
    <t>28-4000</t>
  </si>
  <si>
    <t>28-5000</t>
  </si>
  <si>
    <t>28-5005</t>
  </si>
  <si>
    <t>28-5010</t>
  </si>
  <si>
    <t>28-6000</t>
  </si>
  <si>
    <t>28-6001</t>
  </si>
  <si>
    <t>28-6005</t>
  </si>
  <si>
    <t>28-6006</t>
  </si>
  <si>
    <t>28-6020</t>
  </si>
  <si>
    <t>28-6035</t>
  </si>
  <si>
    <t>28-6050</t>
  </si>
  <si>
    <t>28-6210</t>
  </si>
  <si>
    <t>28-6300</t>
  </si>
  <si>
    <t>28-6320</t>
  </si>
  <si>
    <t>28-7000</t>
  </si>
  <si>
    <t>28-8020</t>
  </si>
  <si>
    <t>28-8025</t>
  </si>
  <si>
    <t>28-8060</t>
  </si>
  <si>
    <t>28-8080</t>
  </si>
  <si>
    <t>28-9000</t>
  </si>
  <si>
    <t>30-1990</t>
  </si>
  <si>
    <t>30-2500</t>
  </si>
  <si>
    <t>30-3000</t>
  </si>
  <si>
    <t>31-1990</t>
  </si>
  <si>
    <t>31-2500</t>
  </si>
  <si>
    <t>31-4000</t>
  </si>
  <si>
    <t>31-5100</t>
  </si>
  <si>
    <t>31-8030</t>
  </si>
  <si>
    <t>46-1990</t>
  </si>
  <si>
    <t>46-2500</t>
  </si>
  <si>
    <t>46-4000</t>
  </si>
  <si>
    <t>46-5110</t>
  </si>
  <si>
    <t>46-6300</t>
  </si>
  <si>
    <t>46-9000</t>
  </si>
  <si>
    <t>47-1250</t>
  </si>
  <si>
    <t>47-1990</t>
  </si>
  <si>
    <t>47-2006</t>
  </si>
  <si>
    <t>47-4000</t>
  </si>
  <si>
    <t>47-5000</t>
  </si>
  <si>
    <t>47-5005</t>
  </si>
  <si>
    <t>47-5010</t>
  </si>
  <si>
    <t>47-6000</t>
  </si>
  <si>
    <t>47-6005</t>
  </si>
  <si>
    <t>47-6050</t>
  </si>
  <si>
    <t>47-9000</t>
  </si>
  <si>
    <t>48-1990</t>
  </si>
  <si>
    <t>48-2500</t>
  </si>
  <si>
    <t>48-4000</t>
  </si>
  <si>
    <t>48-5000</t>
  </si>
  <si>
    <t>48-5005</t>
  </si>
  <si>
    <t>48-5010</t>
  </si>
  <si>
    <t>48-6050</t>
  </si>
  <si>
    <t>48-6300</t>
  </si>
  <si>
    <t>48-9000</t>
  </si>
  <si>
    <t>49-1250</t>
  </si>
  <si>
    <t>49-1990</t>
  </si>
  <si>
    <t>49-4000</t>
  </si>
  <si>
    <t>49-5000</t>
  </si>
  <si>
    <t>49-5005</t>
  </si>
  <si>
    <t>49-5010</t>
  </si>
  <si>
    <t>49-6000</t>
  </si>
  <si>
    <t>49-6005</t>
  </si>
  <si>
    <t>49-6030</t>
  </si>
  <si>
    <t>49-6300</t>
  </si>
  <si>
    <t>49-6310</t>
  </si>
  <si>
    <t>49-9000</t>
  </si>
  <si>
    <t>50-1990</t>
  </si>
  <si>
    <t>50-2500</t>
  </si>
  <si>
    <t>50-4000</t>
  </si>
  <si>
    <t>50-5000</t>
  </si>
  <si>
    <t>50-5005</t>
  </si>
  <si>
    <t>50-5200</t>
  </si>
  <si>
    <t>50-6000</t>
  </si>
  <si>
    <t>50-6260</t>
  </si>
  <si>
    <t>50-6300</t>
  </si>
  <si>
    <t>51-1990</t>
  </si>
  <si>
    <t>51-2500</t>
  </si>
  <si>
    <t>51-4000</t>
  </si>
  <si>
    <t>51-5025</t>
  </si>
  <si>
    <t>51-6300</t>
  </si>
  <si>
    <t>51-6320</t>
  </si>
  <si>
    <t>51-6610</t>
  </si>
  <si>
    <t>52-1990</t>
  </si>
  <si>
    <t>52-2500</t>
  </si>
  <si>
    <t>52-4000</t>
  </si>
  <si>
    <t>52-5100</t>
  </si>
  <si>
    <t>52-6000</t>
  </si>
  <si>
    <t>52-6005</t>
  </si>
  <si>
    <t>52-6006</t>
  </si>
  <si>
    <t>49-8030</t>
  </si>
  <si>
    <t>52-6500</t>
  </si>
  <si>
    <t>53-1250</t>
  </si>
  <si>
    <t>53-1990</t>
  </si>
  <si>
    <t>53-4000</t>
  </si>
  <si>
    <t>53-6500</t>
  </si>
  <si>
    <t>53-6710</t>
  </si>
  <si>
    <t>53-8080</t>
  </si>
  <si>
    <t>70-1990</t>
  </si>
  <si>
    <t>70-2006</t>
  </si>
  <si>
    <t>70-3000</t>
  </si>
  <si>
    <t>70-4800</t>
  </si>
  <si>
    <t>NLC Distribution Income</t>
  </si>
  <si>
    <t>70-5000</t>
  </si>
  <si>
    <t>70-5005</t>
  </si>
  <si>
    <t>70-5010</t>
  </si>
  <si>
    <t>70-5025</t>
  </si>
  <si>
    <t>70-5100</t>
  </si>
  <si>
    <t>70-6000</t>
  </si>
  <si>
    <t>70-6001</t>
  </si>
  <si>
    <t>70-6006</t>
  </si>
  <si>
    <t>70-6010</t>
  </si>
  <si>
    <t>70-6020</t>
  </si>
  <si>
    <t>70-6030</t>
  </si>
  <si>
    <t>70-6035</t>
  </si>
  <si>
    <t>70-6050</t>
  </si>
  <si>
    <t>70-6060</t>
  </si>
  <si>
    <t>52-6100</t>
  </si>
  <si>
    <t>70-6070</t>
  </si>
  <si>
    <t>70-6100</t>
  </si>
  <si>
    <t>70-6110</t>
  </si>
  <si>
    <t>70-6200</t>
  </si>
  <si>
    <t>70-6210</t>
  </si>
  <si>
    <t>70-6250</t>
  </si>
  <si>
    <t>70-6300</t>
  </si>
  <si>
    <t>70-6310</t>
  </si>
  <si>
    <t>70-6315</t>
  </si>
  <si>
    <t>70-6320</t>
  </si>
  <si>
    <t>70-6405</t>
  </si>
  <si>
    <t>Donations</t>
  </si>
  <si>
    <t>70-6500</t>
  </si>
  <si>
    <t>70-4900</t>
  </si>
  <si>
    <t>70-6505</t>
  </si>
  <si>
    <t>70-6510</t>
  </si>
  <si>
    <t>70-6520</t>
  </si>
  <si>
    <t>70-6530</t>
  </si>
  <si>
    <t>70-6540</t>
  </si>
  <si>
    <t>70-6550</t>
  </si>
  <si>
    <t>Living Expenses</t>
  </si>
  <si>
    <t>70-6610</t>
  </si>
  <si>
    <t>70-6700</t>
  </si>
  <si>
    <t>70-6800</t>
  </si>
  <si>
    <t>70-6810</t>
  </si>
  <si>
    <t>70-6840</t>
  </si>
  <si>
    <t>70-7050</t>
  </si>
  <si>
    <t>70-8000</t>
  </si>
  <si>
    <t>Land Purchase</t>
  </si>
  <si>
    <t>70-8015</t>
  </si>
  <si>
    <t>70-8020</t>
  </si>
  <si>
    <t>70-8025</t>
  </si>
  <si>
    <t>70-6080</t>
  </si>
  <si>
    <t>70-8030</t>
  </si>
  <si>
    <t>70-8035</t>
  </si>
  <si>
    <t>70-8040</t>
  </si>
  <si>
    <t>70-8050</t>
  </si>
  <si>
    <t>70-8055</t>
  </si>
  <si>
    <t>70-9505</t>
  </si>
  <si>
    <t>Community Development</t>
  </si>
  <si>
    <t>90-3000</t>
  </si>
  <si>
    <t>90-5000</t>
  </si>
  <si>
    <t>98-1400</t>
  </si>
  <si>
    <t>Land</t>
  </si>
  <si>
    <t>98-1405</t>
  </si>
  <si>
    <t>Land Improvements</t>
  </si>
  <si>
    <t>98-1410</t>
  </si>
  <si>
    <t>Buildings.</t>
  </si>
  <si>
    <t>98-1415</t>
  </si>
  <si>
    <t>98-1425</t>
  </si>
  <si>
    <t>Vehicles</t>
  </si>
  <si>
    <t>98-1500</t>
  </si>
  <si>
    <t>Less:  Accumulated Depreciatio</t>
  </si>
  <si>
    <t>98-1700</t>
  </si>
  <si>
    <t>Construction in Progress</t>
  </si>
  <si>
    <t>98-3000</t>
  </si>
  <si>
    <t>98-3100</t>
  </si>
  <si>
    <t>Investment in Capital Assets</t>
  </si>
  <si>
    <t>99-1990</t>
  </si>
  <si>
    <t>99-2028</t>
  </si>
  <si>
    <t>Accrued Vacation</t>
  </si>
  <si>
    <t>99-2310</t>
  </si>
  <si>
    <t>Mortgage Payable -1st Tribal</t>
  </si>
  <si>
    <t>99-2330</t>
  </si>
  <si>
    <t>Note Payable -ILCC</t>
  </si>
  <si>
    <t>99-2340</t>
  </si>
  <si>
    <t>Note Payable -Comm Reinvt Fund</t>
  </si>
  <si>
    <t>99-2365</t>
  </si>
  <si>
    <t>Note Payable- Ford Motors Credit</t>
  </si>
  <si>
    <t>99-2370</t>
  </si>
  <si>
    <t>Judgement Payable-JW</t>
  </si>
  <si>
    <t>99-2380</t>
  </si>
  <si>
    <t>Judgement Payable-FG</t>
  </si>
  <si>
    <t>99-3000</t>
  </si>
  <si>
    <t>99-3100</t>
  </si>
  <si>
    <t>98-1430</t>
  </si>
  <si>
    <t>Right-to-use Building Lease</t>
  </si>
  <si>
    <t>98-1800</t>
  </si>
  <si>
    <t>98-2410</t>
  </si>
  <si>
    <t>Building Lease ST</t>
  </si>
  <si>
    <t>98-2420</t>
  </si>
  <si>
    <t>Bulding Lease LT</t>
  </si>
  <si>
    <t>98-2600</t>
  </si>
  <si>
    <t>Subscription Liabilities ST</t>
  </si>
  <si>
    <t>98-2700</t>
  </si>
  <si>
    <t>Subscription Liabilities  LT</t>
  </si>
  <si>
    <t>98-4900</t>
  </si>
  <si>
    <t>98-6080</t>
  </si>
  <si>
    <t>98-8000</t>
  </si>
  <si>
    <t>Land/Building Acquistion</t>
  </si>
  <si>
    <t>98-9600</t>
  </si>
  <si>
    <t>Depreciation</t>
  </si>
  <si>
    <t>99-4900</t>
  </si>
  <si>
    <t>99-5000</t>
  </si>
  <si>
    <t>99-6080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</si>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</sst>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[$-409]mmmm\ d\,\ yyyy;@"/>
  </numFmts>
  <fonts count="27">
    <font>
      <sz val="8"/>
      <name val="Tahoma"/>
      <charset val="134"/>
    </font>
    <font>
      <sz val="11"/>
      <name val="Calibri"/>
      <charset val="134"/>
      <scheme val="minor"/>
    </font>
    <font>
      <b/>
      <i/>
      <sz val="11"/>
      <color rgb="FF0000FF"/>
      <name val="Calibri"/>
      <charset val="134"/>
      <scheme val="minor"/>
    </font>
    <font>
      <b/>
      <sz val="11"/>
      <name val="Calibri"/>
      <charset val="134"/>
      <scheme val="minor"/>
    </font>
    <font>
      <u val="singleAccounting"/>
      <sz val="11"/>
      <name val="Calibri"/>
      <charset val="134"/>
      <scheme val="minor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176" fontId="1" fillId="0" borderId="0" xfId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2" xfId="0" applyFont="1" applyFill="1" applyBorder="1"/>
    <xf numFmtId="176" fontId="1" fillId="3" borderId="3" xfId="1" applyFont="1" applyFill="1" applyBorder="1"/>
    <xf numFmtId="176" fontId="1" fillId="3" borderId="2" xfId="1" applyFont="1" applyFill="1" applyBorder="1"/>
    <xf numFmtId="176" fontId="1" fillId="3" borderId="7" xfId="1" applyFont="1" applyFill="1" applyBorder="1"/>
    <xf numFmtId="0" fontId="1" fillId="0" borderId="8" xfId="0" applyFont="1" applyBorder="1"/>
    <xf numFmtId="176" fontId="1" fillId="0" borderId="9" xfId="1" applyFont="1" applyBorder="1"/>
    <xf numFmtId="176" fontId="1" fillId="0" borderId="8" xfId="1" applyFont="1" applyBorder="1"/>
    <xf numFmtId="176" fontId="1" fillId="0" borderId="10" xfId="1" applyFont="1" applyBorder="1"/>
    <xf numFmtId="176" fontId="1" fillId="0" borderId="0" xfId="1" applyFont="1" applyBorder="1"/>
    <xf numFmtId="176" fontId="1" fillId="0" borderId="5" xfId="1" applyFont="1" applyBorder="1"/>
    <xf numFmtId="176" fontId="1" fillId="0" borderId="11" xfId="1" applyFont="1" applyBorder="1"/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0" fontId="1" fillId="0" borderId="5" xfId="0" applyNumberFormat="1" applyFont="1" applyBorder="1" applyAlignment="1">
      <alignment horizontal="right" vertical="top"/>
    </xf>
    <xf numFmtId="40" fontId="1" fillId="0" borderId="5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176" fontId="3" fillId="0" borderId="3" xfId="1" applyFont="1" applyBorder="1"/>
    <xf numFmtId="176" fontId="3" fillId="0" borderId="2" xfId="1" applyFont="1" applyBorder="1"/>
    <xf numFmtId="176" fontId="3" fillId="0" borderId="7" xfId="1" applyFont="1" applyBorder="1"/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40" fontId="4" fillId="0" borderId="13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wrapText="1"/>
    </xf>
    <xf numFmtId="0" fontId="5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177" fontId="5" fillId="0" borderId="0" xfId="1" applyNumberFormat="1" applyFont="1" applyAlignment="1">
      <alignment horizontal="left"/>
    </xf>
    <xf numFmtId="0" fontId="3" fillId="4" borderId="2" xfId="0" applyFont="1" applyFill="1" applyBorder="1" applyAlignment="1">
      <alignment horizontal="center" vertical="center" wrapText="1"/>
    </xf>
    <xf numFmtId="40" fontId="3" fillId="4" borderId="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40" fontId="1" fillId="0" borderId="13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11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  <strike val="0"/>
        <sz val="11"/>
      </font>
      <alignment horizontal="center"/>
      <border>
        <left style="medium">
          <color auto="1"/>
        </left>
        <right/>
        <top/>
        <bottom/>
      </border>
    </dxf>
    <dxf>
      <font>
        <name val="Calibri"/>
        <scheme val="none"/>
        <strike val="0"/>
        <sz val="11"/>
      </font>
      <border>
        <left/>
        <right style="medium">
          <color auto="1"/>
        </right>
        <top/>
        <bottom/>
      </border>
    </dxf>
    <dxf>
      <font>
        <name val="Calibri"/>
        <scheme val="none"/>
        <strike val="0"/>
        <sz val="11"/>
      </font>
    </dxf>
    <dxf>
      <font>
        <name val="Calibri"/>
        <scheme val="none"/>
        <strike val="0"/>
        <sz val="11"/>
      </font>
      <border>
        <left style="medium">
          <color auto="1"/>
        </left>
        <right style="medium">
          <color auto="1"/>
        </right>
        <top/>
        <bottom/>
      </border>
    </dxf>
    <dxf>
      <font>
        <name val="Calibri"/>
        <scheme val="none"/>
        <strike val="0"/>
        <sz val="11"/>
      </font>
      <border>
        <left/>
        <right style="medium">
          <color auto="1"/>
        </right>
        <top/>
        <bottom/>
      </border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531.9225115741" refreshedBy="Neha Agarwal" recordCount="1504">
  <cacheSource type="worksheet">
    <worksheetSource ref="B4:E1508" sheet="TB OLD vs NEW"/>
  </cacheSource>
  <cacheFields count="4">
    <cacheField name="Account String" numFmtId="0">
      <sharedItems count="778">
        <s v="01-1002"/>
        <s v="01-1006"/>
        <s v="01-1007"/>
        <s v="01-1008"/>
        <s v="01-1009"/>
        <s v="01-1010"/>
        <s v="01-1015"/>
        <s v="01-1030"/>
        <s v="01-1990"/>
        <s v="01-2000"/>
        <s v="01-2005"/>
        <s v="01-2006"/>
        <s v="01-2010"/>
        <s v="01-2015"/>
        <s v="01-2022"/>
        <s v="01-2025"/>
        <s v="01-2100"/>
        <s v="01-2205"/>
        <s v="01-2210"/>
        <s v="01-2220"/>
        <s v="01-2300"/>
        <s v="01-3000"/>
        <s v="01-3200"/>
        <s v="01-3210"/>
        <s v="01-4000"/>
        <s v="01-4005"/>
        <s v="01-4015"/>
        <s v="01-4020"/>
        <s v="01-4100"/>
        <s v="01-4200"/>
        <s v="01-4205"/>
        <s v="01-4210"/>
        <s v="01-4215"/>
        <s v="01-4300"/>
        <s v="01-4310"/>
        <s v="01-4320"/>
        <s v="01-4400"/>
        <s v="01-4450"/>
        <s v="01-4500"/>
        <s v="01-4600"/>
        <s v="01-4700"/>
        <s v="01-5000"/>
        <s v="01-5005"/>
        <s v="01-5010"/>
        <s v="01-5025"/>
        <s v="01-5100"/>
        <s v="01-5110"/>
        <s v="01-5150"/>
        <s v="01-5200"/>
        <s v="01-5210"/>
        <s v="01-6000"/>
        <s v="01-6005"/>
        <s v="01-6006"/>
        <s v="01-6007"/>
        <s v="01-6010"/>
        <s v="01-6012"/>
        <s v="01-6015"/>
        <s v="01-6020"/>
        <s v="01-6030"/>
        <s v="01-6035"/>
        <s v="01-6040"/>
        <s v="01-6045"/>
        <s v="01-6050"/>
        <s v="01-6060"/>
        <s v="01-6066"/>
        <s v="01-6070"/>
        <s v="01-6100"/>
        <s v="01-6115"/>
        <s v="01-6200"/>
        <s v="01-6215"/>
        <s v="01-6250"/>
        <s v="01-6260"/>
        <s v="01-6300"/>
        <s v="01-6310"/>
        <s v="01-6320"/>
        <s v="01-6400"/>
        <s v="01-6410"/>
        <s v="01-6500"/>
        <s v="01-6505"/>
        <s v="01-6510"/>
        <s v="01-6520"/>
        <s v="01-6540"/>
        <s v="01-6600"/>
        <s v="01-6610"/>
        <s v="01-6620"/>
        <s v="01-6700"/>
        <s v="01-6810"/>
        <s v="01-6840"/>
        <s v="01-6950"/>
        <s v="01-7000"/>
        <s v="01-7050"/>
        <s v="01-7900"/>
        <s v="01-8015"/>
        <s v="01-8020"/>
        <s v="01-8030"/>
        <s v="01-8035"/>
        <s v="01-8050"/>
        <s v="01-8060"/>
        <s v="02-1990"/>
        <s v="02-2006"/>
        <s v="02-2500"/>
        <s v="02-4000"/>
        <s v="02-5000"/>
        <s v="02-5005"/>
        <s v="02-5010"/>
        <s v="02-5025"/>
        <s v="02-5100"/>
        <s v="02-5110"/>
        <s v="02-5200"/>
        <s v="02-6000"/>
        <s v="02-6005"/>
        <s v="02-6006"/>
        <s v="02-6020"/>
        <s v="02-6030"/>
        <s v="02-6035"/>
        <s v="02-6040"/>
        <s v="02-6045"/>
        <s v="02-6050"/>
        <s v="02-6065"/>
        <s v="02-6100"/>
        <s v="02-6110"/>
        <s v="02-6200"/>
        <s v="02-6215"/>
        <s v="02-6250"/>
        <s v="02-6260"/>
        <s v="02-6300"/>
        <s v="02-6310"/>
        <s v="02-6315"/>
        <s v="02-6320"/>
        <s v="02-6410"/>
        <s v="02-6500"/>
        <s v="02-6505"/>
        <s v="02-6506"/>
        <s v="02-6520"/>
        <s v="02-6610"/>
        <s v="02-6800"/>
        <s v="02-7050"/>
        <s v="02-8015"/>
        <s v="02-8020"/>
        <s v="02-9000"/>
        <s v="03-1250"/>
        <s v="03-1990"/>
        <s v="03-2006"/>
        <s v="03-4000"/>
        <s v="03-5000"/>
        <s v="03-5005"/>
        <s v="03-5100"/>
        <s v="03-6000"/>
        <s v="03-6003"/>
        <s v="03-6010"/>
        <s v="03-6012"/>
        <s v="03-6310"/>
        <s v="04-1990"/>
        <s v="04-2006"/>
        <s v="04-2500"/>
        <s v="04-4000"/>
        <s v="04-6800"/>
        <s v="04-9000"/>
        <s v="05-1990"/>
        <s v="05-2006"/>
        <s v="05-2500"/>
        <s v="05-4000"/>
        <s v="05-4010"/>
        <s v="05-5000"/>
        <s v="05-5005"/>
        <s v="05-5010"/>
        <s v="05-5025"/>
        <s v="05-6000"/>
        <s v="05-6001"/>
        <s v="05-6003"/>
        <s v="05-6004"/>
        <s v="05-6050"/>
        <s v="05-6200"/>
        <s v="05-6260"/>
        <s v="05-6300"/>
        <s v="05-6310"/>
        <s v="05-6320"/>
        <s v="05-6500"/>
        <s v="05-6505"/>
        <s v="07-1250"/>
        <s v="07-1990"/>
        <s v="07-4000"/>
        <s v="07-5000"/>
        <s v="07-5005"/>
        <s v="07-5010"/>
        <s v="07-6000"/>
        <s v="07-6020"/>
        <s v="07-6035"/>
        <s v="07-6050"/>
        <s v="07-9000"/>
        <s v="08-1250"/>
        <s v="08-1990"/>
        <s v="08-2006"/>
        <s v="08-4000"/>
        <s v="08-5000"/>
        <s v="08-5005"/>
        <s v="08-5010"/>
        <s v="08-6000"/>
        <s v="08-6005"/>
        <s v="08-6020"/>
        <s v="08-6035"/>
        <s v="08-6050"/>
        <s v="08-6100"/>
        <s v="08-6105"/>
        <s v="08-6260"/>
        <s v="08-6300"/>
        <s v="08-6320"/>
        <s v="08-9000"/>
        <s v="09-1250"/>
        <s v="09-1990"/>
        <s v="09-2006"/>
        <s v="09-4000"/>
        <s v="09-5000"/>
        <s v="09-5005"/>
        <s v="09-5010"/>
        <s v="09-5100"/>
        <s v="09-5110"/>
        <s v="09-5200"/>
        <s v="09-6000"/>
        <s v="09-6005"/>
        <s v="09-6006"/>
        <s v="09-6007"/>
        <s v="09-6020"/>
        <s v="09-6035"/>
        <s v="09-6050"/>
        <s v="09-6115"/>
        <s v="09-6200"/>
        <s v="09-6300"/>
        <s v="09-6310"/>
        <s v="09-6320"/>
        <s v="09-6505"/>
        <s v="09-6540"/>
        <s v="09-6610"/>
        <s v="09-8080"/>
        <s v="09-9000"/>
        <s v="10-1020"/>
        <s v="10-1990"/>
        <s v="10-2000"/>
        <s v="10-2006"/>
        <s v="10-2015"/>
        <s v="10-2020"/>
        <s v="10-2205"/>
        <s v="10-2500"/>
        <s v="10-4000"/>
        <s v="10-5000"/>
        <s v="10-5005"/>
        <s v="10-5010"/>
        <s v="10-5025"/>
        <s v="10-5100"/>
        <s v="10-5110"/>
        <s v="10-5200"/>
        <s v="10-6000"/>
        <s v="10-6005"/>
        <s v="10-6006"/>
        <s v="10-6007"/>
        <s v="10-6010"/>
        <s v="10-6012"/>
        <s v="10-6020"/>
        <s v="10-6030"/>
        <s v="10-6035"/>
        <s v="10-6050"/>
        <s v="10-6066"/>
        <s v="10-6115"/>
        <s v="10-6260"/>
        <s v="10-6300"/>
        <s v="10-6310"/>
        <s v="10-6320"/>
        <s v="10-6500"/>
        <s v="10-6505"/>
        <s v="10-6525"/>
        <s v="10-6610"/>
        <s v="10-6620"/>
        <s v="10-6710"/>
        <s v="10-7210"/>
        <s v="10-8080"/>
        <s v="10-9000"/>
        <s v="11-4000"/>
        <s v="11-5000"/>
        <s v="11-5005"/>
        <s v="11-8025"/>
        <s v="12-1990"/>
        <s v="12-2006"/>
        <s v="12-2500"/>
        <s v="12-4000"/>
        <s v="12-6006"/>
        <s v="13-1990"/>
        <s v="13-2006"/>
        <s v="13-2500"/>
        <s v="13-4000"/>
        <s v="13-6500"/>
        <s v="14-1250"/>
        <s v="14-1990"/>
        <s v="14-2006"/>
        <s v="14-2205"/>
        <s v="14-4000"/>
        <s v="14-5000"/>
        <s v="14-5005"/>
        <s v="14-5010"/>
        <s v="14-5100"/>
        <s v="14-5110"/>
        <s v="14-5200"/>
        <s v="14-6000"/>
        <s v="14-6001"/>
        <s v="14-6002"/>
        <s v="14-6003"/>
        <s v="14-6020"/>
        <s v="14-6035"/>
        <s v="14-6040"/>
        <s v="14-6050"/>
        <s v="14-6065"/>
        <s v="14-6100"/>
        <s v="14-6115"/>
        <s v="14-6200"/>
        <s v="14-6210"/>
        <s v="14-6215"/>
        <s v="14-6260"/>
        <s v="14-6300"/>
        <s v="14-6310"/>
        <s v="14-6320"/>
        <s v="14-6506"/>
        <s v="14-6600"/>
        <s v="14-6620"/>
        <s v="14-9000"/>
        <s v="15-1250"/>
        <s v="15-1990"/>
        <s v="15-2006"/>
        <s v="15-2205"/>
        <s v="15-4000"/>
        <s v="15-5000"/>
        <s v="15-5005"/>
        <s v="15-5010"/>
        <s v="15-5100"/>
        <s v="15-5110"/>
        <s v="15-5200"/>
        <s v="15-6000"/>
        <s v="15-6003"/>
        <s v="15-6005"/>
        <s v="15-6006"/>
        <s v="15-6012"/>
        <s v="15-6015"/>
        <s v="15-6020"/>
        <s v="15-6035"/>
        <s v="15-6040"/>
        <s v="15-6050"/>
        <s v="15-6065"/>
        <s v="15-6100"/>
        <s v="15-6200"/>
        <s v="15-6215"/>
        <s v="15-6260"/>
        <s v="15-6300"/>
        <s v="15-6310"/>
        <s v="15-6320"/>
        <s v="15-6505"/>
        <s v="15-6506"/>
        <s v="15-6530"/>
        <s v="15-6600"/>
        <s v="15-9000"/>
        <s v="16-1250"/>
        <s v="16-1990"/>
        <s v="16-2006"/>
        <s v="16-4000"/>
        <s v="16-5000"/>
        <s v="16-5005"/>
        <s v="16-5010"/>
        <s v="16-5110"/>
        <s v="16-6000"/>
        <s v="16-6005"/>
        <s v="16-6006"/>
        <s v="16-6012"/>
        <s v="16-6020"/>
        <s v="16-6035"/>
        <s v="16-6050"/>
        <s v="16-6200"/>
        <s v="16-6260"/>
        <s v="16-6270"/>
        <s v="16-6300"/>
        <s v="16-6320"/>
        <s v="16-6506"/>
        <s v="16-6605"/>
        <s v="16-8055"/>
        <s v="16-8080"/>
        <s v="16-9000"/>
        <s v="17-1990"/>
        <s v="17-2006"/>
        <s v="17-2500"/>
        <s v="17-4000"/>
        <s v="17-5000"/>
        <s v="17-5005"/>
        <s v="17-5010"/>
        <s v="17-6000"/>
        <s v="17-6005"/>
        <s v="17-6010"/>
        <s v="17-6035"/>
        <s v="17-6050"/>
        <s v="17-6200"/>
        <s v="17-6210"/>
        <s v="17-6300"/>
        <s v="17-6320"/>
        <s v="17-6500"/>
        <s v="17-6610"/>
        <s v="17-7000"/>
        <s v="17-8080"/>
        <s v="18-1990"/>
        <s v="18-2500"/>
        <s v="18-4000"/>
        <s v="18-5000"/>
        <s v="18-5005"/>
        <s v="18-5010"/>
        <s v="18-5110"/>
        <s v="18-6000"/>
        <s v="18-6020"/>
        <s v="18-6035"/>
        <s v="18-6050"/>
        <s v="18-6065"/>
        <s v="18-6200"/>
        <s v="18-6215"/>
        <s v="18-6300"/>
        <s v="18-6320"/>
        <s v="18-6700"/>
        <s v="18-9000"/>
        <s v="20-1250"/>
        <s v="20-1990"/>
        <s v="20-2006"/>
        <s v="20-2205"/>
        <s v="20-3000"/>
        <s v="20-4000"/>
        <s v="20-4400"/>
        <s v="20-5000"/>
        <s v="20-5005"/>
        <s v="20-5010"/>
        <s v="20-5100"/>
        <s v="20-5200"/>
        <s v="20-6000"/>
        <s v="20-6001"/>
        <s v="20-6002"/>
        <s v="20-6005"/>
        <s v="20-6020"/>
        <s v="20-6035"/>
        <s v="20-6045"/>
        <s v="20-6050"/>
        <s v="20-6200"/>
        <s v="20-6300"/>
        <s v="20-6315"/>
        <s v="20-6320"/>
        <s v="20-6610"/>
        <s v="20-8040"/>
        <s v="20-9000"/>
        <s v="21-1250"/>
        <s v="21-1990"/>
        <s v="21-2006"/>
        <s v="21-4000"/>
        <s v="21-5000"/>
        <s v="21-5005"/>
        <s v="21-5010"/>
        <s v="21-5100"/>
        <s v="21-5110"/>
        <s v="21-5200"/>
        <s v="21-6000"/>
        <s v="21-6005"/>
        <s v="21-6006"/>
        <s v="21-6020"/>
        <s v="21-6030"/>
        <s v="21-6035"/>
        <s v="21-6040"/>
        <s v="21-6045"/>
        <s v="21-6050"/>
        <s v="21-6065"/>
        <s v="21-6105"/>
        <s v="21-6200"/>
        <s v="21-6215"/>
        <s v="21-6300"/>
        <s v="21-6310"/>
        <s v="21-6315"/>
        <s v="21-6320"/>
        <s v="21-7100"/>
        <s v="21-8080"/>
        <s v="21-9000"/>
        <s v="22-1250"/>
        <s v="22-1990"/>
        <s v="22-2006"/>
        <s v="22-4000"/>
        <s v="22-5000"/>
        <s v="22-5005"/>
        <s v="22-5010"/>
        <s v="22-5100"/>
        <s v="22-5110"/>
        <s v="22-6000"/>
        <s v="22-6001"/>
        <s v="22-6002"/>
        <s v="22-6003"/>
        <s v="22-6005"/>
        <s v="22-6010"/>
        <s v="22-6020"/>
        <s v="22-6035"/>
        <s v="22-6050"/>
        <s v="22-6110"/>
        <s v="22-6200"/>
        <s v="22-6215"/>
        <s v="22-6300"/>
        <s v="22-6310"/>
        <s v="22-6500"/>
        <s v="22-6505"/>
        <s v="22-6525"/>
        <s v="22-6610"/>
        <s v="22-8080"/>
        <s v="22-9000"/>
        <s v="23-1990"/>
        <s v="23-2205"/>
        <s v="23-4000"/>
        <s v="23-5000"/>
        <s v="23-5005"/>
        <s v="23-5010"/>
        <s v="23-5025"/>
        <s v="23-5100"/>
        <s v="23-5110"/>
        <s v="23-6000"/>
        <s v="23-6006"/>
        <s v="23-6020"/>
        <s v="23-6050"/>
        <s v="23-6065"/>
        <s v="23-6100"/>
        <s v="23-6310"/>
        <s v="23-9000"/>
        <s v="24-1250"/>
        <s v="24-1990"/>
        <s v="24-2006"/>
        <s v="24-4000"/>
        <s v="24-5000"/>
        <s v="24-5005"/>
        <s v="24-5010"/>
        <s v="24-5025"/>
        <s v="24-5200"/>
        <s v="24-6000"/>
        <s v="24-6005"/>
        <s v="24-6010"/>
        <s v="24-6015"/>
        <s v="24-6035"/>
        <s v="24-6050"/>
        <s v="24-6200"/>
        <s v="24-6210"/>
        <s v="24-6300"/>
        <s v="24-6310"/>
        <s v="24-6320"/>
        <s v="24-6500"/>
        <s v="24-6610"/>
        <s v="24-9000"/>
        <s v="26-1250"/>
        <s v="26-1990"/>
        <s v="26-2006"/>
        <s v="26-4000"/>
        <s v="26-5000"/>
        <s v="26-5005"/>
        <s v="26-5010"/>
        <s v="26-5100"/>
        <s v="26-6000"/>
        <s v="26-6005"/>
        <s v="26-6012"/>
        <s v="26-6035"/>
        <s v="26-6050"/>
        <s v="26-6210"/>
        <s v="26-6300"/>
        <s v="26-6310"/>
        <s v="26-6320"/>
        <s v="26-6500"/>
        <s v="26-6510"/>
        <s v="26-6610"/>
        <s v="26-9000"/>
        <s v="28-1250"/>
        <s v="28-1990"/>
        <s v="28-4000"/>
        <s v="28-5000"/>
        <s v="28-5005"/>
        <s v="28-5010"/>
        <s v="28-6000"/>
        <s v="28-6001"/>
        <s v="28-6005"/>
        <s v="28-6006"/>
        <s v="28-6020"/>
        <s v="28-6035"/>
        <s v="28-6050"/>
        <s v="28-6210"/>
        <s v="28-6300"/>
        <s v="28-6320"/>
        <s v="28-7000"/>
        <s v="28-8020"/>
        <s v="28-8025"/>
        <s v="28-8060"/>
        <s v="28-8080"/>
        <s v="28-9000"/>
        <s v="30-1990"/>
        <s v="30-2500"/>
        <s v="30-3000"/>
        <s v="31-1990"/>
        <s v="31-2500"/>
        <s v="31-4000"/>
        <s v="31-5100"/>
        <s v="31-8030"/>
        <s v="46-1990"/>
        <s v="46-2500"/>
        <s v="46-4000"/>
        <s v="46-5110"/>
        <s v="46-6300"/>
        <s v="46-9000"/>
        <s v="47-1250"/>
        <s v="47-1990"/>
        <s v="47-2006"/>
        <s v="47-4000"/>
        <s v="47-5000"/>
        <s v="47-5005"/>
        <s v="47-5010"/>
        <s v="47-6000"/>
        <s v="47-6005"/>
        <s v="47-6050"/>
        <s v="47-9000"/>
        <s v="48-1990"/>
        <s v="48-2500"/>
        <s v="48-4000"/>
        <s v="48-5000"/>
        <s v="48-5005"/>
        <s v="48-5010"/>
        <s v="48-6050"/>
        <s v="48-6300"/>
        <s v="48-9000"/>
        <s v="49-1250"/>
        <s v="49-1990"/>
        <s v="49-4000"/>
        <s v="49-5000"/>
        <s v="49-5005"/>
        <s v="49-5010"/>
        <s v="49-6000"/>
        <s v="49-6005"/>
        <s v="49-6030"/>
        <s v="49-6300"/>
        <s v="49-6310"/>
        <s v="49-9000"/>
        <s v="50-1990"/>
        <s v="50-2500"/>
        <s v="50-4000"/>
        <s v="50-5000"/>
        <s v="50-5005"/>
        <s v="50-5200"/>
        <s v="50-6000"/>
        <s v="50-6260"/>
        <s v="50-6300"/>
        <s v="51-1990"/>
        <s v="51-2500"/>
        <s v="51-4000"/>
        <s v="51-5025"/>
        <s v="51-6300"/>
        <s v="51-6320"/>
        <s v="51-6610"/>
        <s v="52-1990"/>
        <s v="52-2500"/>
        <s v="52-4000"/>
        <s v="52-5100"/>
        <s v="52-6000"/>
        <s v="52-6005"/>
        <s v="52-6006"/>
        <s v="52-6500"/>
        <s v="53-1250"/>
        <s v="53-1990"/>
        <s v="53-4000"/>
        <s v="53-6500"/>
        <s v="53-6710"/>
        <s v="53-8080"/>
        <s v="70-1990"/>
        <s v="70-2006"/>
        <s v="70-3000"/>
        <s v="70-4800"/>
        <s v="70-5000"/>
        <s v="70-5005"/>
        <s v="70-5010"/>
        <s v="70-5025"/>
        <s v="70-5100"/>
        <s v="70-6000"/>
        <s v="70-6001"/>
        <s v="70-6006"/>
        <s v="70-6010"/>
        <s v="70-6020"/>
        <s v="70-6030"/>
        <s v="70-6035"/>
        <s v="70-6050"/>
        <s v="70-6060"/>
        <s v="70-6070"/>
        <s v="70-6100"/>
        <s v="70-6110"/>
        <s v="70-6200"/>
        <s v="70-6210"/>
        <s v="70-6250"/>
        <s v="70-6300"/>
        <s v="70-6310"/>
        <s v="70-6315"/>
        <s v="70-6320"/>
        <s v="70-6405"/>
        <s v="70-6500"/>
        <s v="70-6505"/>
        <s v="70-6510"/>
        <s v="70-6520"/>
        <s v="70-6530"/>
        <s v="70-6540"/>
        <s v="70-6550"/>
        <s v="70-6610"/>
        <s v="70-6700"/>
        <s v="70-6800"/>
        <s v="70-6810"/>
        <s v="70-6840"/>
        <s v="70-7050"/>
        <s v="70-8000"/>
        <s v="70-8015"/>
        <s v="70-8020"/>
        <s v="70-8025"/>
        <s v="70-8030"/>
        <s v="70-8035"/>
        <s v="70-8040"/>
        <s v="70-8050"/>
        <s v="70-8055"/>
        <s v="70-9505"/>
        <s v="90-3000"/>
        <s v="90-5000"/>
        <s v="98-1400"/>
        <s v="98-1405"/>
        <s v="98-1410"/>
        <s v="98-1415"/>
        <s v="98-1425"/>
        <s v="98-1500"/>
        <s v="98-1700"/>
        <s v="98-3000"/>
        <s v="98-3100"/>
        <s v="99-1990"/>
        <s v="99-2028"/>
        <s v="99-2310"/>
        <s v="99-2330"/>
        <s v="99-2340"/>
        <s v="99-2365"/>
        <s v="99-2370"/>
        <s v="99-2380"/>
        <s v="99-3000"/>
        <s v="99-3100"/>
        <s v="01-1020"/>
        <s v="01-4110"/>
        <s v="01-4120"/>
        <s v="01-4900"/>
        <s v="01-4999"/>
        <s v="01-6080"/>
        <s v="01-9520"/>
        <s v="03-5200"/>
        <s v="09-6070"/>
        <s v="09-6080"/>
        <s v="10-5020"/>
        <s v="10-6100"/>
        <s v="12-6100"/>
        <s v="12-8030"/>
        <s v="15-8035"/>
        <s v="15-8045"/>
        <s v="16-6100"/>
        <s v="17-6100"/>
        <s v="17-8030"/>
        <s v="20-6100"/>
        <s v="20-8030"/>
        <s v="20-8035"/>
        <s v="21-6080"/>
        <s v="49-8030"/>
        <s v="52-6100"/>
        <s v="70-4900"/>
        <s v="70-6080"/>
        <s v="98-1430"/>
        <s v="98-1800"/>
        <s v="98-2410"/>
        <s v="98-2420"/>
        <s v="98-2600"/>
        <s v="98-2700"/>
        <s v="98-4900"/>
        <s v="98-6080"/>
        <s v="98-8000"/>
        <s v="98-9600"/>
        <s v="99-4900"/>
        <s v="99-5000"/>
        <s v="99-6080"/>
      </sharedItems>
    </cacheField>
    <cacheField name="Account Title" numFmtId="0">
      <sharedItems count="158">
        <s v="Cash in Bank- Umpqua 2275"/>
        <s v="Cash in Bank -NAB OP 3274"/>
        <s v="Cash in Bank -NAB Youth 0442"/>
        <s v="Cash in Bank -NAB NLC 0327"/>
        <s v="Cash in Bank- Franklin Templet"/>
        <s v="Cash in Bank -NAB Reserve 0376"/>
        <s v="Cash in Bank -Umpqua 8181"/>
        <s v="Cash in Bank -OB"/>
        <s v="Cash Held For"/>
        <s v="Accounts Payable"/>
        <s v="Payroll Clearing"/>
        <s v="Credit Card Clearing"/>
        <s v="Cash Clearing"/>
        <s v="Accrued Interest Payable"/>
        <s v="Accrued Payroll"/>
        <s v="Accounts Payable -Intern Program"/>
        <s v="Insurance Payable"/>
        <s v="Colonial Life Payable"/>
        <s v="IRA Payable"/>
        <s v="Benefit Payable"/>
        <s v="Net Assets"/>
        <s v="Unassigned Fund Balance"/>
        <s v="Committed Fund Balance"/>
        <s v="Contract/Grant Income"/>
        <s v="105 Lease Income"/>
        <s v="Program reimbursement"/>
        <s v="Insuance Claims"/>
        <s v="Interest Income"/>
        <s v="Contributions"/>
        <s v="Parent Fund"/>
        <s v="Sales"/>
        <s v="Cafe Income"/>
        <s v="Other Income"/>
        <s v="Refunds"/>
        <s v="Opioid Funds"/>
        <s v="Rent Income"/>
        <s v="Storage Income"/>
        <s v="Rev Shar Income"/>
        <s v="Enterprise Income"/>
        <s v="Special Events"/>
        <s v="Salaries"/>
        <s v="Payroll Taxes"/>
        <s v="Fringe Benefits"/>
        <s v="Stipends"/>
        <s v="Professional Services"/>
        <s v="Contractual"/>
        <s v="Audit"/>
        <s v="Employment Cost"/>
        <s v="Payroll/Bank Charges"/>
        <s v="Supplies"/>
        <s v="IT Cost - Software"/>
        <s v="IT Cost - Hardware"/>
        <s v="IT Cost - Software Subscription"/>
        <s v="Subscriptions"/>
        <s v="Publications and Books"/>
        <s v="Advertising/Marketing"/>
        <s v="Communications"/>
        <s v="Space Cost"/>
        <s v="Utilities"/>
        <s v="Printing/Repro"/>
        <s v="Postage/Mailings"/>
        <s v="Insurance"/>
        <s v="Property Taxes/Fines"/>
        <s v="Membership Fee"/>
        <s v="Interest"/>
        <s v="Equipment"/>
        <s v="Equipment Rental/Leases"/>
        <s v="Facility Repairs/Maint"/>
        <s v="Janitorial Services/Expenses"/>
        <s v="Land Maint/Upkeep"/>
        <s v="Outdoor Materials/Tools"/>
        <s v="Travel"/>
        <s v="Training"/>
        <s v="Vehicle Cost"/>
        <s v="Miscellaneous"/>
        <s v="Funeral Expenses"/>
        <s v="Food"/>
        <s v="Education Expense"/>
        <s v="Household"/>
        <s v="Clothing"/>
        <s v="Cultural/Native Support"/>
        <s v="Parent Activities"/>
        <s v="Youth Activities"/>
        <s v="Medical/Health Services."/>
        <s v="Social, Emotional &amp; Mental Hlth"/>
        <s v="Transportation Assistance"/>
        <s v="CC Activity"/>
        <s v="Child Assistance"/>
        <s v="Citizen Support Services"/>
        <s v="Indirect Cost Allocation"/>
        <s v="Septic/Sewer"/>
        <s v="Housing Assistance"/>
        <s v="Site Dev/Improvement"/>
        <s v="Housing Rehabilitation"/>
        <s v="Land Improvement"/>
        <s v="Emergency"/>
        <s v="Deferred"/>
        <s v="License/Permit Fee"/>
        <s v="Equipment Repair/Maint"/>
        <s v="Meeting/Conference Cost"/>
        <s v="Lab Expenses"/>
        <s v="Energy Assistance"/>
        <s v="Indirect Cost"/>
        <s v="Contract/Grant Receivable"/>
        <s v="Classroom Program Supplies"/>
        <s v="Program Income"/>
        <s v="Medical Supplies"/>
        <s v="Cleaning Supplies"/>
        <s v="Equipment- Non Cap"/>
        <s v="Outreach Activities"/>
        <s v="Cash In Bank -5323"/>
        <s v="Accrued Expenses"/>
        <s v="Incentives"/>
        <s v="Nutrition"/>
        <s v="Summer Academy"/>
        <s v="Rental Assistance"/>
        <s v="Pandemic Supplies"/>
        <s v="Facility Security"/>
        <s v="Tuition"/>
        <s v="Gardening Supplies"/>
        <s v="Committee Expenses"/>
        <s v="Prevention/Safety"/>
        <s v="Construction"/>
        <s v="Client Services"/>
        <s v="NLC Distribution Income"/>
        <s v="Donations"/>
        <s v="Living Expenses"/>
        <s v="Land Purchase"/>
        <s v="Community Development"/>
        <s v="Land"/>
        <s v="Land Improvements"/>
        <s v="Buildings."/>
        <s v="Vehicles"/>
        <s v="Less:  Accumulated Depreciatio"/>
        <s v="Construction in Progress"/>
        <s v="Investment in Capital Assets"/>
        <s v="Accrued Vacation"/>
        <s v="Mortgage Payable -1st Tribal"/>
        <s v="Note Payable -ILCC"/>
        <s v="Note Payable -Comm Reinvt Fund"/>
        <s v="Note Payable- Ford Motors Credit"/>
        <s v="Judgement Payable-JW"/>
        <s v="Judgement Payable-FG"/>
        <s v="Dividend Income"/>
        <s v="(Gain)/Loss on Investment"/>
        <s v="Proceeds of Debt Issuance"/>
        <s v="Contributions from CONL"/>
        <s v="Principal Expense"/>
        <s v="Litigation/settlements"/>
        <s v="Casual Labor"/>
        <s v="Fencing"/>
        <s v="Right-to-use Building Lease"/>
        <s v="Building Lease ST"/>
        <s v="Bulding Lease LT"/>
        <s v="Subscription Liabilities ST"/>
        <s v="Subscription Liabilities  LT"/>
        <s v="Land/Building Acquistion"/>
        <s v="Depreciation"/>
      </sharedItems>
    </cacheField>
    <cacheField name="Old TB" numFmtId="0"/>
    <cacheField name="New TB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4">
  <r>
    <x v="0"/>
    <x v="0"/>
    <n v="788177.94"/>
    <m/>
  </r>
  <r>
    <x v="1"/>
    <x v="1"/>
    <n v="-77476.81"/>
    <m/>
  </r>
  <r>
    <x v="2"/>
    <x v="2"/>
    <n v="12631.96"/>
    <m/>
  </r>
  <r>
    <x v="3"/>
    <x v="3"/>
    <n v="7274874.46"/>
    <m/>
  </r>
  <r>
    <x v="4"/>
    <x v="4"/>
    <n v="49777.45"/>
    <m/>
  </r>
  <r>
    <x v="5"/>
    <x v="5"/>
    <n v="35486.43"/>
    <m/>
  </r>
  <r>
    <x v="6"/>
    <x v="6"/>
    <n v="7045.07"/>
    <m/>
  </r>
  <r>
    <x v="7"/>
    <x v="7"/>
    <n v="975400.76"/>
    <m/>
  </r>
  <r>
    <x v="8"/>
    <x v="8"/>
    <n v="-7913702.4299999997"/>
    <m/>
  </r>
  <r>
    <x v="9"/>
    <x v="9"/>
    <n v="-159315.92000000001"/>
    <m/>
  </r>
  <r>
    <x v="10"/>
    <x v="10"/>
    <n v="6211.55"/>
    <m/>
  </r>
  <r>
    <x v="11"/>
    <x v="9"/>
    <n v="-8048.8"/>
    <m/>
  </r>
  <r>
    <x v="12"/>
    <x v="11"/>
    <n v="182.01"/>
    <m/>
  </r>
  <r>
    <x v="13"/>
    <x v="12"/>
    <n v="-22045"/>
    <m/>
  </r>
  <r>
    <x v="14"/>
    <x v="13"/>
    <n v="-252995.56"/>
    <m/>
  </r>
  <r>
    <x v="15"/>
    <x v="14"/>
    <n v="-69762.05"/>
    <m/>
  </r>
  <r>
    <x v="16"/>
    <x v="15"/>
    <n v="2538"/>
    <m/>
  </r>
  <r>
    <x v="17"/>
    <x v="16"/>
    <n v="-3176.21"/>
    <m/>
  </r>
  <r>
    <x v="18"/>
    <x v="17"/>
    <n v="-539"/>
    <m/>
  </r>
  <r>
    <x v="19"/>
    <x v="18"/>
    <n v="-4622.6499999999996"/>
    <m/>
  </r>
  <r>
    <x v="20"/>
    <x v="19"/>
    <n v="-49163.35"/>
    <m/>
  </r>
  <r>
    <x v="21"/>
    <x v="20"/>
    <n v="499935.85"/>
    <m/>
  </r>
  <r>
    <x v="22"/>
    <x v="21"/>
    <n v="238190.96"/>
    <m/>
  </r>
  <r>
    <x v="23"/>
    <x v="22"/>
    <n v="87847.01"/>
    <m/>
  </r>
  <r>
    <x v="24"/>
    <x v="23"/>
    <n v="-1223946.77"/>
    <m/>
  </r>
  <r>
    <x v="25"/>
    <x v="24"/>
    <n v="-131559"/>
    <m/>
  </r>
  <r>
    <x v="26"/>
    <x v="25"/>
    <n v="-6874.01"/>
    <m/>
  </r>
  <r>
    <x v="27"/>
    <x v="26"/>
    <n v="-31529.200000000001"/>
    <m/>
  </r>
  <r>
    <x v="28"/>
    <x v="27"/>
    <n v="-88787.77"/>
    <m/>
  </r>
  <r>
    <x v="29"/>
    <x v="28"/>
    <n v="-45988.800000000003"/>
    <m/>
  </r>
  <r>
    <x v="30"/>
    <x v="29"/>
    <n v="-2525.75"/>
    <m/>
  </r>
  <r>
    <x v="31"/>
    <x v="30"/>
    <n v="-1391.75"/>
    <m/>
  </r>
  <r>
    <x v="32"/>
    <x v="31"/>
    <n v="-16800"/>
    <m/>
  </r>
  <r>
    <x v="33"/>
    <x v="32"/>
    <n v="-210069.49"/>
    <m/>
  </r>
  <r>
    <x v="34"/>
    <x v="33"/>
    <n v="-75360.240000000005"/>
    <m/>
  </r>
  <r>
    <x v="35"/>
    <x v="34"/>
    <n v="-111612.59"/>
    <m/>
  </r>
  <r>
    <x v="36"/>
    <x v="35"/>
    <n v="-3688"/>
    <m/>
  </r>
  <r>
    <x v="37"/>
    <x v="36"/>
    <n v="-970"/>
    <m/>
  </r>
  <r>
    <x v="38"/>
    <x v="37"/>
    <n v="-1100000"/>
    <m/>
  </r>
  <r>
    <x v="39"/>
    <x v="38"/>
    <n v="-800000"/>
    <m/>
  </r>
  <r>
    <x v="40"/>
    <x v="39"/>
    <n v="-15149.4"/>
    <m/>
  </r>
  <r>
    <x v="41"/>
    <x v="40"/>
    <n v="334297.94"/>
    <m/>
  </r>
  <r>
    <x v="42"/>
    <x v="41"/>
    <n v="27834.02"/>
    <m/>
  </r>
  <r>
    <x v="43"/>
    <x v="42"/>
    <n v="95997.9"/>
    <m/>
  </r>
  <r>
    <x v="44"/>
    <x v="43"/>
    <n v="10950"/>
    <m/>
  </r>
  <r>
    <x v="45"/>
    <x v="44"/>
    <n v="180542.98"/>
    <m/>
  </r>
  <r>
    <x v="46"/>
    <x v="45"/>
    <n v="19752.59"/>
    <m/>
  </r>
  <r>
    <x v="47"/>
    <x v="46"/>
    <n v="15526"/>
    <m/>
  </r>
  <r>
    <x v="48"/>
    <x v="47"/>
    <n v="21.61"/>
    <m/>
  </r>
  <r>
    <x v="49"/>
    <x v="48"/>
    <n v="23612.14"/>
    <m/>
  </r>
  <r>
    <x v="50"/>
    <x v="49"/>
    <n v="52823.06"/>
    <m/>
  </r>
  <r>
    <x v="51"/>
    <x v="50"/>
    <n v="36453.120000000003"/>
    <m/>
  </r>
  <r>
    <x v="52"/>
    <x v="51"/>
    <n v="41031.480000000003"/>
    <m/>
  </r>
  <r>
    <x v="53"/>
    <x v="52"/>
    <n v="40.090000000000003"/>
    <m/>
  </r>
  <r>
    <x v="54"/>
    <x v="53"/>
    <n v="8152.69"/>
    <m/>
  </r>
  <r>
    <x v="55"/>
    <x v="54"/>
    <n v="64.989999999999995"/>
    <m/>
  </r>
  <r>
    <x v="56"/>
    <x v="55"/>
    <n v="351.53"/>
    <m/>
  </r>
  <r>
    <x v="57"/>
    <x v="56"/>
    <n v="13616.17"/>
    <m/>
  </r>
  <r>
    <x v="58"/>
    <x v="57"/>
    <n v="237"/>
    <m/>
  </r>
  <r>
    <x v="59"/>
    <x v="58"/>
    <n v="26770.35"/>
    <m/>
  </r>
  <r>
    <x v="60"/>
    <x v="59"/>
    <n v="1151.8399999999999"/>
    <m/>
  </r>
  <r>
    <x v="61"/>
    <x v="60"/>
    <n v="75.55"/>
    <m/>
  </r>
  <r>
    <x v="62"/>
    <x v="61"/>
    <n v="9777.82"/>
    <m/>
  </r>
  <r>
    <x v="63"/>
    <x v="62"/>
    <n v="124230.67"/>
    <m/>
  </r>
  <r>
    <x v="64"/>
    <x v="63"/>
    <n v="179"/>
    <m/>
  </r>
  <r>
    <x v="65"/>
    <x v="64"/>
    <n v="48991.32"/>
    <m/>
  </r>
  <r>
    <x v="66"/>
    <x v="65"/>
    <n v="70560.2"/>
    <m/>
  </r>
  <r>
    <x v="67"/>
    <x v="66"/>
    <n v="1560"/>
    <m/>
  </r>
  <r>
    <x v="68"/>
    <x v="67"/>
    <n v="8413.93"/>
    <m/>
  </r>
  <r>
    <x v="69"/>
    <x v="68"/>
    <n v="3678.62"/>
    <m/>
  </r>
  <r>
    <x v="70"/>
    <x v="69"/>
    <n v="600"/>
    <m/>
  </r>
  <r>
    <x v="71"/>
    <x v="70"/>
    <n v="1229.8"/>
    <m/>
  </r>
  <r>
    <x v="72"/>
    <x v="71"/>
    <n v="78677.23"/>
    <m/>
  </r>
  <r>
    <x v="73"/>
    <x v="72"/>
    <n v="175"/>
    <m/>
  </r>
  <r>
    <x v="74"/>
    <x v="73"/>
    <n v="35377.339999999997"/>
    <m/>
  </r>
  <r>
    <x v="75"/>
    <x v="74"/>
    <n v="1197.03"/>
    <m/>
  </r>
  <r>
    <x v="76"/>
    <x v="75"/>
    <n v="14070.18"/>
    <m/>
  </r>
  <r>
    <x v="77"/>
    <x v="76"/>
    <n v="17500.8"/>
    <m/>
  </r>
  <r>
    <x v="78"/>
    <x v="77"/>
    <n v="18711.97"/>
    <m/>
  </r>
  <r>
    <x v="79"/>
    <x v="78"/>
    <n v="12673.41"/>
    <m/>
  </r>
  <r>
    <x v="80"/>
    <x v="79"/>
    <n v="8270.8799999999992"/>
    <m/>
  </r>
  <r>
    <x v="81"/>
    <x v="80"/>
    <n v="11384.25"/>
    <m/>
  </r>
  <r>
    <x v="82"/>
    <x v="81"/>
    <n v="6877.49"/>
    <m/>
  </r>
  <r>
    <x v="83"/>
    <x v="82"/>
    <n v="50491.63"/>
    <m/>
  </r>
  <r>
    <x v="84"/>
    <x v="39"/>
    <n v="1598.06"/>
    <m/>
  </r>
  <r>
    <x v="85"/>
    <x v="83"/>
    <n v="12600"/>
    <m/>
  </r>
  <r>
    <x v="86"/>
    <x v="84"/>
    <n v="17773.97"/>
    <m/>
  </r>
  <r>
    <x v="87"/>
    <x v="85"/>
    <n v="6121.79"/>
    <m/>
  </r>
  <r>
    <x v="88"/>
    <x v="86"/>
    <n v="54579.67"/>
    <m/>
  </r>
  <r>
    <x v="89"/>
    <x v="87"/>
    <n v="200"/>
    <m/>
  </r>
  <r>
    <x v="90"/>
    <x v="88"/>
    <n v="565576.1"/>
    <m/>
  </r>
  <r>
    <x v="91"/>
    <x v="89"/>
    <n v="-633886.96"/>
    <m/>
  </r>
  <r>
    <x v="92"/>
    <x v="90"/>
    <n v="40000"/>
    <m/>
  </r>
  <r>
    <x v="93"/>
    <x v="91"/>
    <n v="331260.55"/>
    <m/>
  </r>
  <r>
    <x v="94"/>
    <x v="92"/>
    <n v="10963.58"/>
    <m/>
  </r>
  <r>
    <x v="95"/>
    <x v="93"/>
    <n v="626064.43000000005"/>
    <m/>
  </r>
  <r>
    <x v="96"/>
    <x v="94"/>
    <n v="460.4"/>
    <m/>
  </r>
  <r>
    <x v="97"/>
    <x v="95"/>
    <n v="1557.89"/>
    <m/>
  </r>
  <r>
    <x v="98"/>
    <x v="8"/>
    <n v="197530.38"/>
    <m/>
  </r>
  <r>
    <x v="99"/>
    <x v="9"/>
    <n v="-9012.5400000000009"/>
    <m/>
  </r>
  <r>
    <x v="100"/>
    <x v="96"/>
    <n v="-188517.84"/>
    <m/>
  </r>
  <r>
    <x v="101"/>
    <x v="23"/>
    <n v="-605096.37"/>
    <m/>
  </r>
  <r>
    <x v="102"/>
    <x v="40"/>
    <n v="196248.84"/>
    <m/>
  </r>
  <r>
    <x v="103"/>
    <x v="41"/>
    <n v="17717.87"/>
    <m/>
  </r>
  <r>
    <x v="104"/>
    <x v="42"/>
    <n v="90646.82"/>
    <m/>
  </r>
  <r>
    <x v="105"/>
    <x v="43"/>
    <n v="4500"/>
    <m/>
  </r>
  <r>
    <x v="106"/>
    <x v="44"/>
    <n v="40045.17"/>
    <m/>
  </r>
  <r>
    <x v="107"/>
    <x v="45"/>
    <n v="517.5"/>
    <m/>
  </r>
  <r>
    <x v="108"/>
    <x v="47"/>
    <n v="1070"/>
    <m/>
  </r>
  <r>
    <x v="109"/>
    <x v="49"/>
    <n v="7560.9"/>
    <m/>
  </r>
  <r>
    <x v="110"/>
    <x v="50"/>
    <n v="5696.16"/>
    <m/>
  </r>
  <r>
    <x v="111"/>
    <x v="51"/>
    <n v="553.28"/>
    <m/>
  </r>
  <r>
    <x v="112"/>
    <x v="56"/>
    <n v="4946.3900000000003"/>
    <m/>
  </r>
  <r>
    <x v="113"/>
    <x v="57"/>
    <n v="606"/>
    <m/>
  </r>
  <r>
    <x v="114"/>
    <x v="58"/>
    <n v="10798.01"/>
    <m/>
  </r>
  <r>
    <x v="115"/>
    <x v="59"/>
    <n v="5212.84"/>
    <m/>
  </r>
  <r>
    <x v="116"/>
    <x v="60"/>
    <n v="1025.8900000000001"/>
    <m/>
  </r>
  <r>
    <x v="117"/>
    <x v="61"/>
    <n v="2581.5700000000002"/>
    <m/>
  </r>
  <r>
    <x v="118"/>
    <x v="97"/>
    <n v="4210.47"/>
    <m/>
  </r>
  <r>
    <x v="119"/>
    <x v="65"/>
    <n v="8062.28"/>
    <m/>
  </r>
  <r>
    <x v="120"/>
    <x v="98"/>
    <n v="747.5"/>
    <m/>
  </r>
  <r>
    <x v="121"/>
    <x v="67"/>
    <n v="3652.45"/>
    <m/>
  </r>
  <r>
    <x v="122"/>
    <x v="68"/>
    <n v="107.25"/>
    <m/>
  </r>
  <r>
    <x v="123"/>
    <x v="69"/>
    <n v="3399.25"/>
    <m/>
  </r>
  <r>
    <x v="124"/>
    <x v="70"/>
    <n v="16.32"/>
    <m/>
  </r>
  <r>
    <x v="125"/>
    <x v="71"/>
    <n v="25609.4"/>
    <m/>
  </r>
  <r>
    <x v="126"/>
    <x v="72"/>
    <n v="7620.5"/>
    <m/>
  </r>
  <r>
    <x v="127"/>
    <x v="99"/>
    <n v="4626.59"/>
    <m/>
  </r>
  <r>
    <x v="128"/>
    <x v="73"/>
    <n v="14115.37"/>
    <m/>
  </r>
  <r>
    <x v="129"/>
    <x v="75"/>
    <n v="7891.56"/>
    <m/>
  </r>
  <r>
    <x v="130"/>
    <x v="76"/>
    <n v="6131.57"/>
    <m/>
  </r>
  <r>
    <x v="131"/>
    <x v="77"/>
    <n v="1900"/>
    <m/>
  </r>
  <r>
    <x v="132"/>
    <x v="100"/>
    <n v="735"/>
    <m/>
  </r>
  <r>
    <x v="133"/>
    <x v="79"/>
    <n v="493.47"/>
    <m/>
  </r>
  <r>
    <x v="134"/>
    <x v="82"/>
    <n v="6803.88"/>
    <m/>
  </r>
  <r>
    <x v="135"/>
    <x v="101"/>
    <n v="796.1"/>
    <m/>
  </r>
  <r>
    <x v="136"/>
    <x v="88"/>
    <n v="36435.1"/>
    <m/>
  </r>
  <r>
    <x v="137"/>
    <x v="90"/>
    <n v="2900"/>
    <m/>
  </r>
  <r>
    <x v="138"/>
    <x v="91"/>
    <n v="115"/>
    <m/>
  </r>
  <r>
    <x v="139"/>
    <x v="102"/>
    <n v="79000.070000000007"/>
    <m/>
  </r>
  <r>
    <x v="140"/>
    <x v="103"/>
    <n v="9866.18"/>
    <m/>
  </r>
  <r>
    <x v="141"/>
    <x v="8"/>
    <n v="-9547.74"/>
    <m/>
  </r>
  <r>
    <x v="142"/>
    <x v="9"/>
    <n v="-318.44"/>
    <m/>
  </r>
  <r>
    <x v="143"/>
    <x v="23"/>
    <n v="-24917.37"/>
    <m/>
  </r>
  <r>
    <x v="144"/>
    <x v="40"/>
    <n v="9187.64"/>
    <m/>
  </r>
  <r>
    <x v="145"/>
    <x v="41"/>
    <n v="1013.42"/>
    <m/>
  </r>
  <r>
    <x v="146"/>
    <x v="44"/>
    <n v="4100"/>
    <m/>
  </r>
  <r>
    <x v="147"/>
    <x v="49"/>
    <n v="1750.04"/>
    <m/>
  </r>
  <r>
    <x v="148"/>
    <x v="104"/>
    <n v="1453.85"/>
    <m/>
  </r>
  <r>
    <x v="149"/>
    <x v="53"/>
    <n v="2840.6"/>
    <m/>
  </r>
  <r>
    <x v="150"/>
    <x v="54"/>
    <n v="3867.11"/>
    <m/>
  </r>
  <r>
    <x v="151"/>
    <x v="72"/>
    <n v="704.71"/>
    <m/>
  </r>
  <r>
    <x v="152"/>
    <x v="8"/>
    <n v="5036.6099999999997"/>
    <m/>
  </r>
  <r>
    <x v="153"/>
    <x v="9"/>
    <n v="-900"/>
    <m/>
  </r>
  <r>
    <x v="154"/>
    <x v="96"/>
    <n v="-4136.6099999999997"/>
    <m/>
  </r>
  <r>
    <x v="155"/>
    <x v="23"/>
    <n v="-23388.77"/>
    <m/>
  </r>
  <r>
    <x v="156"/>
    <x v="101"/>
    <n v="21245.77"/>
    <m/>
  </r>
  <r>
    <x v="157"/>
    <x v="102"/>
    <n v="2143"/>
    <m/>
  </r>
  <r>
    <x v="158"/>
    <x v="8"/>
    <n v="41072.01"/>
    <m/>
  </r>
  <r>
    <x v="159"/>
    <x v="9"/>
    <n v="-1508.95"/>
    <m/>
  </r>
  <r>
    <x v="160"/>
    <x v="96"/>
    <n v="-39563.06"/>
    <m/>
  </r>
  <r>
    <x v="161"/>
    <x v="23"/>
    <n v="-43309.68"/>
    <m/>
  </r>
  <r>
    <x v="162"/>
    <x v="105"/>
    <n v="-30000"/>
    <m/>
  </r>
  <r>
    <x v="163"/>
    <x v="40"/>
    <n v="42058.75"/>
    <m/>
  </r>
  <r>
    <x v="164"/>
    <x v="41"/>
    <n v="3789.23"/>
    <m/>
  </r>
  <r>
    <x v="165"/>
    <x v="42"/>
    <n v="3249"/>
    <m/>
  </r>
  <r>
    <x v="166"/>
    <x v="43"/>
    <n v="1250"/>
    <m/>
  </r>
  <r>
    <x v="167"/>
    <x v="49"/>
    <n v="6045.82"/>
    <m/>
  </r>
  <r>
    <x v="168"/>
    <x v="106"/>
    <n v="99.58"/>
    <m/>
  </r>
  <r>
    <x v="169"/>
    <x v="104"/>
    <n v="17.63"/>
    <m/>
  </r>
  <r>
    <x v="170"/>
    <x v="107"/>
    <n v="312.51"/>
    <m/>
  </r>
  <r>
    <x v="171"/>
    <x v="61"/>
    <n v="4063.3"/>
    <m/>
  </r>
  <r>
    <x v="172"/>
    <x v="67"/>
    <n v="139.47999999999999"/>
    <m/>
  </r>
  <r>
    <x v="173"/>
    <x v="70"/>
    <n v="132"/>
    <m/>
  </r>
  <r>
    <x v="174"/>
    <x v="71"/>
    <n v="-246.62"/>
    <m/>
  </r>
  <r>
    <x v="175"/>
    <x v="72"/>
    <n v="448"/>
    <m/>
  </r>
  <r>
    <x v="176"/>
    <x v="73"/>
    <n v="90.91"/>
    <m/>
  </r>
  <r>
    <x v="177"/>
    <x v="76"/>
    <n v="10900.09"/>
    <m/>
  </r>
  <r>
    <x v="178"/>
    <x v="77"/>
    <n v="960"/>
    <m/>
  </r>
  <r>
    <x v="179"/>
    <x v="103"/>
    <n v="44329.69"/>
    <m/>
  </r>
  <r>
    <x v="180"/>
    <x v="8"/>
    <n v="-44329.69"/>
    <m/>
  </r>
  <r>
    <x v="181"/>
    <x v="23"/>
    <n v="-83404.759999999995"/>
    <m/>
  </r>
  <r>
    <x v="182"/>
    <x v="40"/>
    <n v="59385.97"/>
    <m/>
  </r>
  <r>
    <x v="183"/>
    <x v="41"/>
    <n v="5001.49"/>
    <m/>
  </r>
  <r>
    <x v="184"/>
    <x v="42"/>
    <n v="3412.46"/>
    <m/>
  </r>
  <r>
    <x v="185"/>
    <x v="49"/>
    <n v="670"/>
    <m/>
  </r>
  <r>
    <x v="186"/>
    <x v="56"/>
    <n v="225"/>
    <m/>
  </r>
  <r>
    <x v="187"/>
    <x v="58"/>
    <n v="1350"/>
    <m/>
  </r>
  <r>
    <x v="188"/>
    <x v="61"/>
    <n v="1800"/>
    <m/>
  </r>
  <r>
    <x v="189"/>
    <x v="102"/>
    <n v="11559.84"/>
    <m/>
  </r>
  <r>
    <x v="190"/>
    <x v="103"/>
    <n v="34432.019999999997"/>
    <m/>
  </r>
  <r>
    <x v="191"/>
    <x v="8"/>
    <n v="-34329.379999999997"/>
    <m/>
  </r>
  <r>
    <x v="192"/>
    <x v="9"/>
    <n v="-102.64"/>
    <m/>
  </r>
  <r>
    <x v="193"/>
    <x v="23"/>
    <n v="-86947.91"/>
    <m/>
  </r>
  <r>
    <x v="194"/>
    <x v="40"/>
    <n v="49107.92"/>
    <m/>
  </r>
  <r>
    <x v="195"/>
    <x v="41"/>
    <n v="4148.6499999999996"/>
    <m/>
  </r>
  <r>
    <x v="196"/>
    <x v="42"/>
    <n v="6397.47"/>
    <m/>
  </r>
  <r>
    <x v="197"/>
    <x v="49"/>
    <n v="1298.31"/>
    <m/>
  </r>
  <r>
    <x v="198"/>
    <x v="50"/>
    <n v="828"/>
    <m/>
  </r>
  <r>
    <x v="199"/>
    <x v="56"/>
    <n v="230.1"/>
    <m/>
  </r>
  <r>
    <x v="200"/>
    <x v="58"/>
    <n v="1893.58"/>
    <m/>
  </r>
  <r>
    <x v="201"/>
    <x v="61"/>
    <n v="2585.7399999999998"/>
    <m/>
  </r>
  <r>
    <x v="202"/>
    <x v="65"/>
    <n v="504.8"/>
    <m/>
  </r>
  <r>
    <x v="203"/>
    <x v="108"/>
    <n v="126.17"/>
    <m/>
  </r>
  <r>
    <x v="204"/>
    <x v="70"/>
    <n v="1913.41"/>
    <m/>
  </r>
  <r>
    <x v="205"/>
    <x v="71"/>
    <n v="5157.49"/>
    <m/>
  </r>
  <r>
    <x v="206"/>
    <x v="73"/>
    <n v="705.35"/>
    <m/>
  </r>
  <r>
    <x v="207"/>
    <x v="102"/>
    <n v="12050.92"/>
    <m/>
  </r>
  <r>
    <x v="208"/>
    <x v="103"/>
    <n v="47353.69"/>
    <m/>
  </r>
  <r>
    <x v="209"/>
    <x v="8"/>
    <n v="-46887.57"/>
    <m/>
  </r>
  <r>
    <x v="210"/>
    <x v="9"/>
    <n v="-466.12"/>
    <m/>
  </r>
  <r>
    <x v="211"/>
    <x v="23"/>
    <n v="-424105.22"/>
    <m/>
  </r>
  <r>
    <x v="212"/>
    <x v="40"/>
    <n v="186368.39"/>
    <m/>
  </r>
  <r>
    <x v="213"/>
    <x v="41"/>
    <n v="16506.21"/>
    <m/>
  </r>
  <r>
    <x v="214"/>
    <x v="42"/>
    <n v="5038.75"/>
    <m/>
  </r>
  <r>
    <x v="215"/>
    <x v="44"/>
    <n v="6750"/>
    <m/>
  </r>
  <r>
    <x v="216"/>
    <x v="45"/>
    <n v="2500"/>
    <m/>
  </r>
  <r>
    <x v="217"/>
    <x v="47"/>
    <n v="334"/>
    <m/>
  </r>
  <r>
    <x v="218"/>
    <x v="49"/>
    <n v="17703.8"/>
    <m/>
  </r>
  <r>
    <x v="219"/>
    <x v="50"/>
    <n v="1537.99"/>
    <m/>
  </r>
  <r>
    <x v="220"/>
    <x v="51"/>
    <n v="3596.91"/>
    <m/>
  </r>
  <r>
    <x v="221"/>
    <x v="52"/>
    <n v="1083.8699999999999"/>
    <m/>
  </r>
  <r>
    <x v="222"/>
    <x v="56"/>
    <n v="1110.7"/>
    <m/>
  </r>
  <r>
    <x v="223"/>
    <x v="58"/>
    <n v="2115.67"/>
    <m/>
  </r>
  <r>
    <x v="224"/>
    <x v="61"/>
    <n v="4245.68"/>
    <m/>
  </r>
  <r>
    <x v="225"/>
    <x v="66"/>
    <n v="27906"/>
    <m/>
  </r>
  <r>
    <x v="226"/>
    <x v="67"/>
    <n v="-340.83"/>
    <m/>
  </r>
  <r>
    <x v="227"/>
    <x v="71"/>
    <n v="72026.64"/>
    <m/>
  </r>
  <r>
    <x v="228"/>
    <x v="72"/>
    <n v="3706.62"/>
    <m/>
  </r>
  <r>
    <x v="229"/>
    <x v="73"/>
    <n v="1078.8599999999999"/>
    <m/>
  </r>
  <r>
    <x v="230"/>
    <x v="77"/>
    <n v="3625.25"/>
    <m/>
  </r>
  <r>
    <x v="231"/>
    <x v="80"/>
    <n v="114.93"/>
    <m/>
  </r>
  <r>
    <x v="232"/>
    <x v="82"/>
    <n v="11117.03"/>
    <m/>
  </r>
  <r>
    <x v="233"/>
    <x v="109"/>
    <n v="1063.21"/>
    <m/>
  </r>
  <r>
    <x v="234"/>
    <x v="102"/>
    <n v="54915.54"/>
    <m/>
  </r>
  <r>
    <x v="235"/>
    <x v="110"/>
    <n v="500"/>
    <m/>
  </r>
  <r>
    <x v="236"/>
    <x v="8"/>
    <n v="73943.31"/>
    <m/>
  </r>
  <r>
    <x v="237"/>
    <x v="9"/>
    <n v="-5911.65"/>
    <m/>
  </r>
  <r>
    <x v="238"/>
    <x v="9"/>
    <n v="-23795.96"/>
    <m/>
  </r>
  <r>
    <x v="239"/>
    <x v="12"/>
    <n v="22045"/>
    <m/>
  </r>
  <r>
    <x v="240"/>
    <x v="111"/>
    <n v="-615.29"/>
    <m/>
  </r>
  <r>
    <x v="241"/>
    <x v="16"/>
    <n v="132.03"/>
    <m/>
  </r>
  <r>
    <x v="242"/>
    <x v="96"/>
    <n v="-66297.440000000002"/>
    <m/>
  </r>
  <r>
    <x v="243"/>
    <x v="23"/>
    <n v="-793137.3"/>
    <m/>
  </r>
  <r>
    <x v="244"/>
    <x v="40"/>
    <n v="398033.97"/>
    <m/>
  </r>
  <r>
    <x v="245"/>
    <x v="41"/>
    <n v="34042.800000000003"/>
    <m/>
  </r>
  <r>
    <x v="246"/>
    <x v="42"/>
    <n v="29948.38"/>
    <m/>
  </r>
  <r>
    <x v="247"/>
    <x v="43"/>
    <n v="18376"/>
    <m/>
  </r>
  <r>
    <x v="248"/>
    <x v="44"/>
    <n v="15267.09"/>
    <m/>
  </r>
  <r>
    <x v="249"/>
    <x v="45"/>
    <n v="49205.39"/>
    <m/>
  </r>
  <r>
    <x v="250"/>
    <x v="47"/>
    <n v="330"/>
    <m/>
  </r>
  <r>
    <x v="251"/>
    <x v="49"/>
    <n v="26862.240000000002"/>
    <m/>
  </r>
  <r>
    <x v="252"/>
    <x v="50"/>
    <n v="5401.77"/>
    <m/>
  </r>
  <r>
    <x v="253"/>
    <x v="51"/>
    <n v="9652.81"/>
    <m/>
  </r>
  <r>
    <x v="254"/>
    <x v="52"/>
    <n v="3525.97"/>
    <m/>
  </r>
  <r>
    <x v="255"/>
    <x v="53"/>
    <n v="-914.2"/>
    <m/>
  </r>
  <r>
    <x v="256"/>
    <x v="54"/>
    <n v="35"/>
    <m/>
  </r>
  <r>
    <x v="257"/>
    <x v="56"/>
    <n v="230.1"/>
    <m/>
  </r>
  <r>
    <x v="258"/>
    <x v="57"/>
    <n v="9600"/>
    <m/>
  </r>
  <r>
    <x v="259"/>
    <x v="58"/>
    <n v="12536.82"/>
    <m/>
  </r>
  <r>
    <x v="260"/>
    <x v="61"/>
    <n v="3949.55"/>
    <m/>
  </r>
  <r>
    <x v="261"/>
    <x v="63"/>
    <n v="1599"/>
    <m/>
  </r>
  <r>
    <x v="262"/>
    <x v="66"/>
    <n v="18673.11"/>
    <m/>
  </r>
  <r>
    <x v="263"/>
    <x v="70"/>
    <n v="125.56"/>
    <m/>
  </r>
  <r>
    <x v="264"/>
    <x v="71"/>
    <n v="17551.37"/>
    <m/>
  </r>
  <r>
    <x v="265"/>
    <x v="72"/>
    <n v="270"/>
    <m/>
  </r>
  <r>
    <x v="266"/>
    <x v="73"/>
    <n v="7223.96"/>
    <m/>
  </r>
  <r>
    <x v="267"/>
    <x v="76"/>
    <n v="214.63"/>
    <m/>
  </r>
  <r>
    <x v="268"/>
    <x v="77"/>
    <n v="2298.84"/>
    <m/>
  </r>
  <r>
    <x v="269"/>
    <x v="112"/>
    <n v="7942.22"/>
    <m/>
  </r>
  <r>
    <x v="270"/>
    <x v="82"/>
    <n v="17387.71"/>
    <m/>
  </r>
  <r>
    <x v="271"/>
    <x v="39"/>
    <n v="38580.74"/>
    <m/>
  </r>
  <r>
    <x v="272"/>
    <x v="113"/>
    <n v="11359.21"/>
    <m/>
  </r>
  <r>
    <x v="273"/>
    <x v="114"/>
    <n v="2530.8000000000002"/>
    <m/>
  </r>
  <r>
    <x v="274"/>
    <x v="109"/>
    <n v="5233.6099999999997"/>
    <m/>
  </r>
  <r>
    <x v="275"/>
    <x v="102"/>
    <n v="46062.85"/>
    <m/>
  </r>
  <r>
    <x v="276"/>
    <x v="23"/>
    <n v="-3908.28"/>
    <m/>
  </r>
  <r>
    <x v="277"/>
    <x v="40"/>
    <n v="1351.5"/>
    <m/>
  </r>
  <r>
    <x v="278"/>
    <x v="41"/>
    <n v="147.78"/>
    <m/>
  </r>
  <r>
    <x v="279"/>
    <x v="115"/>
    <n v="2409"/>
    <m/>
  </r>
  <r>
    <x v="280"/>
    <x v="8"/>
    <n v="150905.46"/>
    <m/>
  </r>
  <r>
    <x v="281"/>
    <x v="9"/>
    <n v="-2516.9699999999998"/>
    <m/>
  </r>
  <r>
    <x v="282"/>
    <x v="96"/>
    <n v="-148388.49"/>
    <m/>
  </r>
  <r>
    <x v="283"/>
    <x v="23"/>
    <n v="-40935.870000000003"/>
    <m/>
  </r>
  <r>
    <x v="284"/>
    <x v="51"/>
    <n v="40935.870000000003"/>
    <m/>
  </r>
  <r>
    <x v="285"/>
    <x v="8"/>
    <n v="73672.61"/>
    <m/>
  </r>
  <r>
    <x v="286"/>
    <x v="9"/>
    <n v="-4306.3999999999996"/>
    <m/>
  </r>
  <r>
    <x v="287"/>
    <x v="96"/>
    <n v="-69366.210000000006"/>
    <m/>
  </r>
  <r>
    <x v="288"/>
    <x v="23"/>
    <n v="-48852.02"/>
    <m/>
  </r>
  <r>
    <x v="289"/>
    <x v="76"/>
    <n v="48852.02"/>
    <m/>
  </r>
  <r>
    <x v="290"/>
    <x v="103"/>
    <n v="59011.55"/>
    <m/>
  </r>
  <r>
    <x v="291"/>
    <x v="8"/>
    <n v="-55578.98"/>
    <m/>
  </r>
  <r>
    <x v="292"/>
    <x v="9"/>
    <n v="-3498.24"/>
    <m/>
  </r>
  <r>
    <x v="293"/>
    <x v="16"/>
    <n v="65.67"/>
    <m/>
  </r>
  <r>
    <x v="294"/>
    <x v="23"/>
    <n v="-666157.35"/>
    <m/>
  </r>
  <r>
    <x v="295"/>
    <x v="40"/>
    <n v="438456.47"/>
    <m/>
  </r>
  <r>
    <x v="296"/>
    <x v="41"/>
    <n v="36287.629999999997"/>
    <m/>
  </r>
  <r>
    <x v="297"/>
    <x v="42"/>
    <n v="63527.77"/>
    <m/>
  </r>
  <r>
    <x v="298"/>
    <x v="44"/>
    <n v="1794.53"/>
    <m/>
  </r>
  <r>
    <x v="299"/>
    <x v="45"/>
    <n v="1045"/>
    <m/>
  </r>
  <r>
    <x v="300"/>
    <x v="47"/>
    <n v="1664.22"/>
    <m/>
  </r>
  <r>
    <x v="301"/>
    <x v="49"/>
    <n v="6564.65"/>
    <m/>
  </r>
  <r>
    <x v="302"/>
    <x v="106"/>
    <n v="1500"/>
    <m/>
  </r>
  <r>
    <x v="303"/>
    <x v="116"/>
    <n v="791.38"/>
    <m/>
  </r>
  <r>
    <x v="304"/>
    <x v="104"/>
    <n v="19574.060000000001"/>
    <m/>
  </r>
  <r>
    <x v="305"/>
    <x v="56"/>
    <n v="288.35000000000002"/>
    <m/>
  </r>
  <r>
    <x v="306"/>
    <x v="58"/>
    <n v="14974.99"/>
    <m/>
  </r>
  <r>
    <x v="307"/>
    <x v="59"/>
    <n v="5629.47"/>
    <m/>
  </r>
  <r>
    <x v="308"/>
    <x v="61"/>
    <n v="5530.81"/>
    <m/>
  </r>
  <r>
    <x v="309"/>
    <x v="97"/>
    <n v="219"/>
    <m/>
  </r>
  <r>
    <x v="310"/>
    <x v="65"/>
    <n v="1739.75"/>
    <m/>
  </r>
  <r>
    <x v="311"/>
    <x v="66"/>
    <n v="1199"/>
    <m/>
  </r>
  <r>
    <x v="312"/>
    <x v="67"/>
    <n v="13034.81"/>
    <m/>
  </r>
  <r>
    <x v="313"/>
    <x v="117"/>
    <n v="187.11"/>
    <m/>
  </r>
  <r>
    <x v="314"/>
    <x v="68"/>
    <n v="148.5"/>
    <m/>
  </r>
  <r>
    <x v="315"/>
    <x v="70"/>
    <n v="127.82"/>
    <m/>
  </r>
  <r>
    <x v="316"/>
    <x v="71"/>
    <n v="7892.91"/>
    <m/>
  </r>
  <r>
    <x v="317"/>
    <x v="72"/>
    <n v="6898.12"/>
    <m/>
  </r>
  <r>
    <x v="318"/>
    <x v="73"/>
    <n v="1220.77"/>
    <m/>
  </r>
  <r>
    <x v="319"/>
    <x v="100"/>
    <n v="735"/>
    <m/>
  </r>
  <r>
    <x v="320"/>
    <x v="81"/>
    <n v="2913.63"/>
    <m/>
  </r>
  <r>
    <x v="321"/>
    <x v="39"/>
    <n v="371.96"/>
    <m/>
  </r>
  <r>
    <x v="322"/>
    <x v="102"/>
    <n v="31839.64"/>
    <m/>
  </r>
  <r>
    <x v="323"/>
    <x v="103"/>
    <n v="91059.92"/>
    <m/>
  </r>
  <r>
    <x v="324"/>
    <x v="8"/>
    <n v="-85291.12"/>
    <m/>
  </r>
  <r>
    <x v="325"/>
    <x v="9"/>
    <n v="-6239.68"/>
    <m/>
  </r>
  <r>
    <x v="326"/>
    <x v="16"/>
    <n v="470.88"/>
    <m/>
  </r>
  <r>
    <x v="327"/>
    <x v="23"/>
    <n v="-910650.08"/>
    <m/>
  </r>
  <r>
    <x v="328"/>
    <x v="40"/>
    <n v="516955.91"/>
    <m/>
  </r>
  <r>
    <x v="329"/>
    <x v="41"/>
    <n v="45294.04"/>
    <m/>
  </r>
  <r>
    <x v="330"/>
    <x v="42"/>
    <n v="83114.5"/>
    <m/>
  </r>
  <r>
    <x v="331"/>
    <x v="44"/>
    <n v="1980"/>
    <m/>
  </r>
  <r>
    <x v="332"/>
    <x v="45"/>
    <n v="926.86"/>
    <m/>
  </r>
  <r>
    <x v="333"/>
    <x v="47"/>
    <n v="1130"/>
    <m/>
  </r>
  <r>
    <x v="334"/>
    <x v="49"/>
    <n v="14061.83"/>
    <m/>
  </r>
  <r>
    <x v="335"/>
    <x v="104"/>
    <n v="45638.66"/>
    <m/>
  </r>
  <r>
    <x v="336"/>
    <x v="50"/>
    <n v="8500.11"/>
    <m/>
  </r>
  <r>
    <x v="337"/>
    <x v="51"/>
    <n v="7.59"/>
    <m/>
  </r>
  <r>
    <x v="338"/>
    <x v="54"/>
    <n v="49.95"/>
    <m/>
  </r>
  <r>
    <x v="339"/>
    <x v="55"/>
    <n v="4437.8100000000004"/>
    <m/>
  </r>
  <r>
    <x v="340"/>
    <x v="56"/>
    <n v="510.13"/>
    <m/>
  </r>
  <r>
    <x v="341"/>
    <x v="58"/>
    <n v="17571.59"/>
    <m/>
  </r>
  <r>
    <x v="342"/>
    <x v="59"/>
    <n v="5949.42"/>
    <m/>
  </r>
  <r>
    <x v="343"/>
    <x v="61"/>
    <n v="8257.76"/>
    <m/>
  </r>
  <r>
    <x v="344"/>
    <x v="97"/>
    <n v="4570"/>
    <m/>
  </r>
  <r>
    <x v="345"/>
    <x v="65"/>
    <n v="8587.32"/>
    <m/>
  </r>
  <r>
    <x v="346"/>
    <x v="67"/>
    <n v="49189.41"/>
    <m/>
  </r>
  <r>
    <x v="347"/>
    <x v="68"/>
    <n v="1480.17"/>
    <m/>
  </r>
  <r>
    <x v="348"/>
    <x v="70"/>
    <n v="1098.07"/>
    <m/>
  </r>
  <r>
    <x v="349"/>
    <x v="71"/>
    <n v="8728.08"/>
    <m/>
  </r>
  <r>
    <x v="350"/>
    <x v="72"/>
    <n v="20662.59"/>
    <m/>
  </r>
  <r>
    <x v="351"/>
    <x v="73"/>
    <n v="2104.16"/>
    <m/>
  </r>
  <r>
    <x v="352"/>
    <x v="77"/>
    <n v="46.99"/>
    <m/>
  </r>
  <r>
    <x v="353"/>
    <x v="100"/>
    <n v="735"/>
    <m/>
  </r>
  <r>
    <x v="354"/>
    <x v="118"/>
    <n v="3714.9"/>
    <m/>
  </r>
  <r>
    <x v="355"/>
    <x v="81"/>
    <n v="2719.23"/>
    <m/>
  </r>
  <r>
    <x v="356"/>
    <x v="102"/>
    <n v="52628"/>
    <m/>
  </r>
  <r>
    <x v="357"/>
    <x v="103"/>
    <n v="71205.94"/>
    <m/>
  </r>
  <r>
    <x v="358"/>
    <x v="8"/>
    <n v="-70584.800000000003"/>
    <m/>
  </r>
  <r>
    <x v="359"/>
    <x v="9"/>
    <n v="-621.14"/>
    <m/>
  </r>
  <r>
    <x v="360"/>
    <x v="23"/>
    <n v="-303663.12"/>
    <m/>
  </r>
  <r>
    <x v="361"/>
    <x v="40"/>
    <n v="172457.03"/>
    <m/>
  </r>
  <r>
    <x v="362"/>
    <x v="41"/>
    <n v="14255.85"/>
    <m/>
  </r>
  <r>
    <x v="363"/>
    <x v="42"/>
    <n v="31102.240000000002"/>
    <m/>
  </r>
  <r>
    <x v="364"/>
    <x v="45"/>
    <n v="501.46"/>
    <m/>
  </r>
  <r>
    <x v="365"/>
    <x v="49"/>
    <n v="-2551.6999999999998"/>
    <m/>
  </r>
  <r>
    <x v="366"/>
    <x v="50"/>
    <n v="828"/>
    <m/>
  </r>
  <r>
    <x v="367"/>
    <x v="51"/>
    <n v="391.47"/>
    <m/>
  </r>
  <r>
    <x v="368"/>
    <x v="54"/>
    <n v="1.1599999999999999"/>
    <m/>
  </r>
  <r>
    <x v="369"/>
    <x v="56"/>
    <n v="230.1"/>
    <m/>
  </r>
  <r>
    <x v="370"/>
    <x v="58"/>
    <n v="4390.68"/>
    <m/>
  </r>
  <r>
    <x v="371"/>
    <x v="61"/>
    <n v="6128.43"/>
    <m/>
  </r>
  <r>
    <x v="372"/>
    <x v="67"/>
    <n v="1044.01"/>
    <m/>
  </r>
  <r>
    <x v="373"/>
    <x v="70"/>
    <n v="-96.09"/>
    <m/>
  </r>
  <r>
    <x v="374"/>
    <x v="119"/>
    <n v="1308.49"/>
    <m/>
  </r>
  <r>
    <x v="375"/>
    <x v="71"/>
    <n v="14287.19"/>
    <m/>
  </r>
  <r>
    <x v="376"/>
    <x v="73"/>
    <n v="13300.81"/>
    <m/>
  </r>
  <r>
    <x v="377"/>
    <x v="100"/>
    <n v="4010"/>
    <m/>
  </r>
  <r>
    <x v="378"/>
    <x v="120"/>
    <n v="628.15"/>
    <m/>
  </r>
  <r>
    <x v="379"/>
    <x v="121"/>
    <n v="31.34"/>
    <m/>
  </r>
  <r>
    <x v="380"/>
    <x v="109"/>
    <n v="-673.01"/>
    <m/>
  </r>
  <r>
    <x v="381"/>
    <x v="102"/>
    <n v="42087.51"/>
    <m/>
  </r>
  <r>
    <x v="382"/>
    <x v="8"/>
    <n v="30384.55"/>
    <m/>
  </r>
  <r>
    <x v="383"/>
    <x v="9"/>
    <n v="-1768.03"/>
    <m/>
  </r>
  <r>
    <x v="384"/>
    <x v="96"/>
    <n v="-28616.52"/>
    <m/>
  </r>
  <r>
    <x v="385"/>
    <x v="23"/>
    <n v="-146339.45000000001"/>
    <m/>
  </r>
  <r>
    <x v="386"/>
    <x v="40"/>
    <n v="18072"/>
    <m/>
  </r>
  <r>
    <x v="387"/>
    <x v="41"/>
    <n v="1841.36"/>
    <m/>
  </r>
  <r>
    <x v="388"/>
    <x v="42"/>
    <n v="731"/>
    <m/>
  </r>
  <r>
    <x v="389"/>
    <x v="49"/>
    <n v="41223.58"/>
    <m/>
  </r>
  <r>
    <x v="390"/>
    <x v="50"/>
    <n v="276"/>
    <m/>
  </r>
  <r>
    <x v="391"/>
    <x v="53"/>
    <n v="528.94000000000005"/>
    <m/>
  </r>
  <r>
    <x v="392"/>
    <x v="58"/>
    <n v="5696.65"/>
    <m/>
  </r>
  <r>
    <x v="393"/>
    <x v="61"/>
    <n v="3142.24"/>
    <m/>
  </r>
  <r>
    <x v="394"/>
    <x v="67"/>
    <n v="16987.599999999999"/>
    <m/>
  </r>
  <r>
    <x v="395"/>
    <x v="117"/>
    <n v="1877"/>
    <m/>
  </r>
  <r>
    <x v="396"/>
    <x v="71"/>
    <n v="8028.69"/>
    <m/>
  </r>
  <r>
    <x v="397"/>
    <x v="73"/>
    <n v="599.26"/>
    <m/>
  </r>
  <r>
    <x v="398"/>
    <x v="76"/>
    <n v="602.04"/>
    <m/>
  </r>
  <r>
    <x v="399"/>
    <x v="82"/>
    <n v="1200.0899999999999"/>
    <m/>
  </r>
  <r>
    <x v="400"/>
    <x v="87"/>
    <n v="14037.92"/>
    <m/>
  </r>
  <r>
    <x v="401"/>
    <x v="109"/>
    <n v="31495.08"/>
    <m/>
  </r>
  <r>
    <x v="402"/>
    <x v="8"/>
    <n v="240453.13"/>
    <m/>
  </r>
  <r>
    <x v="403"/>
    <x v="96"/>
    <n v="-240453.13"/>
    <m/>
  </r>
  <r>
    <x v="404"/>
    <x v="23"/>
    <n v="-82019.39"/>
    <m/>
  </r>
  <r>
    <x v="405"/>
    <x v="40"/>
    <n v="32362.1"/>
    <m/>
  </r>
  <r>
    <x v="406"/>
    <x v="41"/>
    <n v="2640.27"/>
    <m/>
  </r>
  <r>
    <x v="407"/>
    <x v="42"/>
    <n v="21654.51"/>
    <m/>
  </r>
  <r>
    <x v="408"/>
    <x v="45"/>
    <n v="356.78"/>
    <m/>
  </r>
  <r>
    <x v="409"/>
    <x v="49"/>
    <n v="3075.88"/>
    <m/>
  </r>
  <r>
    <x v="410"/>
    <x v="56"/>
    <n v="-225"/>
    <m/>
  </r>
  <r>
    <x v="411"/>
    <x v="58"/>
    <n v="691.37"/>
    <m/>
  </r>
  <r>
    <x v="412"/>
    <x v="61"/>
    <n v="3188.11"/>
    <m/>
  </r>
  <r>
    <x v="413"/>
    <x v="97"/>
    <n v="150"/>
    <m/>
  </r>
  <r>
    <x v="414"/>
    <x v="67"/>
    <n v="253.24"/>
    <m/>
  </r>
  <r>
    <x v="415"/>
    <x v="68"/>
    <n v="41.25"/>
    <m/>
  </r>
  <r>
    <x v="416"/>
    <x v="71"/>
    <n v="2860.07"/>
    <m/>
  </r>
  <r>
    <x v="417"/>
    <x v="73"/>
    <n v="860.79"/>
    <m/>
  </r>
  <r>
    <x v="418"/>
    <x v="83"/>
    <n v="2742.19"/>
    <m/>
  </r>
  <r>
    <x v="419"/>
    <x v="102"/>
    <n v="11367.83"/>
    <m/>
  </r>
  <r>
    <x v="420"/>
    <x v="103"/>
    <n v="57471.24"/>
    <m/>
  </r>
  <r>
    <x v="421"/>
    <x v="8"/>
    <n v="32893.74"/>
    <m/>
  </r>
  <r>
    <x v="422"/>
    <x v="9"/>
    <n v="-27131.7"/>
    <m/>
  </r>
  <r>
    <x v="423"/>
    <x v="16"/>
    <n v="49.97"/>
    <m/>
  </r>
  <r>
    <x v="424"/>
    <x v="20"/>
    <n v="-65665.95"/>
    <m/>
  </r>
  <r>
    <x v="425"/>
    <x v="23"/>
    <n v="-1092861.3799999999"/>
    <m/>
  </r>
  <r>
    <x v="426"/>
    <x v="35"/>
    <n v="-80275.850000000006"/>
    <m/>
  </r>
  <r>
    <x v="427"/>
    <x v="40"/>
    <n v="82546.44"/>
    <m/>
  </r>
  <r>
    <x v="428"/>
    <x v="41"/>
    <n v="6300.15"/>
    <m/>
  </r>
  <r>
    <x v="429"/>
    <x v="42"/>
    <n v="17819.7"/>
    <m/>
  </r>
  <r>
    <x v="430"/>
    <x v="44"/>
    <n v="61.13"/>
    <m/>
  </r>
  <r>
    <x v="431"/>
    <x v="47"/>
    <n v="95"/>
    <m/>
  </r>
  <r>
    <x v="432"/>
    <x v="49"/>
    <n v="12102.03"/>
    <m/>
  </r>
  <r>
    <x v="433"/>
    <x v="106"/>
    <n v="250.24"/>
    <m/>
  </r>
  <r>
    <x v="434"/>
    <x v="116"/>
    <n v="6385.68"/>
    <m/>
  </r>
  <r>
    <x v="435"/>
    <x v="50"/>
    <n v="753.33"/>
    <m/>
  </r>
  <r>
    <x v="436"/>
    <x v="56"/>
    <n v="49917.3"/>
    <m/>
  </r>
  <r>
    <x v="437"/>
    <x v="58"/>
    <n v="28962.17"/>
    <m/>
  </r>
  <r>
    <x v="438"/>
    <x v="60"/>
    <n v="34.24"/>
    <m/>
  </r>
  <r>
    <x v="439"/>
    <x v="61"/>
    <n v="16495.16"/>
    <m/>
  </r>
  <r>
    <x v="440"/>
    <x v="67"/>
    <n v="166587.69"/>
    <m/>
  </r>
  <r>
    <x v="441"/>
    <x v="71"/>
    <n v="3866.8"/>
    <m/>
  </r>
  <r>
    <x v="442"/>
    <x v="99"/>
    <n v="8587.32"/>
    <m/>
  </r>
  <r>
    <x v="443"/>
    <x v="73"/>
    <n v="84.5"/>
    <m/>
  </r>
  <r>
    <x v="444"/>
    <x v="82"/>
    <n v="3717.02"/>
    <m/>
  </r>
  <r>
    <x v="445"/>
    <x v="122"/>
    <n v="762750.57"/>
    <m/>
  </r>
  <r>
    <x v="446"/>
    <x v="102"/>
    <n v="8203.4599999999991"/>
    <m/>
  </r>
  <r>
    <x v="447"/>
    <x v="103"/>
    <n v="80716.91"/>
    <m/>
  </r>
  <r>
    <x v="448"/>
    <x v="8"/>
    <n v="-76347.490000000005"/>
    <m/>
  </r>
  <r>
    <x v="449"/>
    <x v="9"/>
    <n v="-4369.42"/>
    <m/>
  </r>
  <r>
    <x v="450"/>
    <x v="23"/>
    <n v="-705851.16"/>
    <m/>
  </r>
  <r>
    <x v="451"/>
    <x v="40"/>
    <n v="251031.88"/>
    <m/>
  </r>
  <r>
    <x v="452"/>
    <x v="41"/>
    <n v="22380.95"/>
    <m/>
  </r>
  <r>
    <x v="453"/>
    <x v="42"/>
    <n v="39871.49"/>
    <m/>
  </r>
  <r>
    <x v="454"/>
    <x v="44"/>
    <n v="4150"/>
    <m/>
  </r>
  <r>
    <x v="455"/>
    <x v="45"/>
    <n v="1798.5"/>
    <m/>
  </r>
  <r>
    <x v="456"/>
    <x v="47"/>
    <n v="7.43"/>
    <m/>
  </r>
  <r>
    <x v="457"/>
    <x v="49"/>
    <n v="5769.04"/>
    <m/>
  </r>
  <r>
    <x v="458"/>
    <x v="50"/>
    <n v="2484"/>
    <m/>
  </r>
  <r>
    <x v="459"/>
    <x v="51"/>
    <n v="1511.69"/>
    <m/>
  </r>
  <r>
    <x v="460"/>
    <x v="56"/>
    <n v="5103.01"/>
    <m/>
  </r>
  <r>
    <x v="461"/>
    <x v="57"/>
    <n v="33976.239999999998"/>
    <m/>
  </r>
  <r>
    <x v="462"/>
    <x v="58"/>
    <n v="7668.37"/>
    <m/>
  </r>
  <r>
    <x v="463"/>
    <x v="59"/>
    <n v="5250.51"/>
    <m/>
  </r>
  <r>
    <x v="464"/>
    <x v="60"/>
    <n v="567"/>
    <m/>
  </r>
  <r>
    <x v="465"/>
    <x v="61"/>
    <n v="5276.94"/>
    <m/>
  </r>
  <r>
    <x v="466"/>
    <x v="97"/>
    <n v="2513.96"/>
    <m/>
  </r>
  <r>
    <x v="467"/>
    <x v="108"/>
    <n v="575"/>
    <m/>
  </r>
  <r>
    <x v="468"/>
    <x v="67"/>
    <n v="748.46"/>
    <m/>
  </r>
  <r>
    <x v="469"/>
    <x v="68"/>
    <n v="239.25"/>
    <m/>
  </r>
  <r>
    <x v="470"/>
    <x v="71"/>
    <n v="11786.64"/>
    <m/>
  </r>
  <r>
    <x v="471"/>
    <x v="72"/>
    <n v="12083"/>
    <m/>
  </r>
  <r>
    <x v="472"/>
    <x v="99"/>
    <n v="4412.82"/>
    <m/>
  </r>
  <r>
    <x v="473"/>
    <x v="73"/>
    <n v="4960.3"/>
    <m/>
  </r>
  <r>
    <x v="474"/>
    <x v="123"/>
    <n v="181795.67"/>
    <m/>
  </r>
  <r>
    <x v="475"/>
    <x v="109"/>
    <n v="2356.48"/>
    <m/>
  </r>
  <r>
    <x v="476"/>
    <x v="102"/>
    <n v="97532.53"/>
    <m/>
  </r>
  <r>
    <x v="477"/>
    <x v="103"/>
    <n v="34170.300000000003"/>
    <m/>
  </r>
  <r>
    <x v="478"/>
    <x v="8"/>
    <n v="-32884.39"/>
    <m/>
  </r>
  <r>
    <x v="479"/>
    <x v="9"/>
    <n v="-1285.9100000000001"/>
    <m/>
  </r>
  <r>
    <x v="480"/>
    <x v="23"/>
    <n v="-369671.72"/>
    <m/>
  </r>
  <r>
    <x v="481"/>
    <x v="40"/>
    <n v="209438.85"/>
    <m/>
  </r>
  <r>
    <x v="482"/>
    <x v="41"/>
    <n v="17798.52"/>
    <m/>
  </r>
  <r>
    <x v="483"/>
    <x v="42"/>
    <n v="20828.36"/>
    <m/>
  </r>
  <r>
    <x v="484"/>
    <x v="44"/>
    <n v="9340"/>
    <m/>
  </r>
  <r>
    <x v="485"/>
    <x v="45"/>
    <n v="11853.21"/>
    <m/>
  </r>
  <r>
    <x v="486"/>
    <x v="49"/>
    <n v="5073.3"/>
    <m/>
  </r>
  <r>
    <x v="487"/>
    <x v="106"/>
    <n v="380.85"/>
    <m/>
  </r>
  <r>
    <x v="488"/>
    <x v="116"/>
    <n v="401.5"/>
    <m/>
  </r>
  <r>
    <x v="489"/>
    <x v="104"/>
    <n v="7821.53"/>
    <m/>
  </r>
  <r>
    <x v="490"/>
    <x v="50"/>
    <n v="1656"/>
    <m/>
  </r>
  <r>
    <x v="491"/>
    <x v="53"/>
    <n v="100"/>
    <m/>
  </r>
  <r>
    <x v="492"/>
    <x v="56"/>
    <n v="4890.57"/>
    <m/>
  </r>
  <r>
    <x v="493"/>
    <x v="58"/>
    <n v="10031.93"/>
    <m/>
  </r>
  <r>
    <x v="494"/>
    <x v="61"/>
    <n v="3949.55"/>
    <m/>
  </r>
  <r>
    <x v="495"/>
    <x v="98"/>
    <n v="152"/>
    <m/>
  </r>
  <r>
    <x v="496"/>
    <x v="67"/>
    <n v="1049.8800000000001"/>
    <m/>
  </r>
  <r>
    <x v="497"/>
    <x v="68"/>
    <n v="246.5"/>
    <m/>
  </r>
  <r>
    <x v="498"/>
    <x v="71"/>
    <n v="8617.33"/>
    <m/>
  </r>
  <r>
    <x v="499"/>
    <x v="72"/>
    <n v="695"/>
    <m/>
  </r>
  <r>
    <x v="500"/>
    <x v="76"/>
    <n v="2184.16"/>
    <m/>
  </r>
  <r>
    <x v="501"/>
    <x v="77"/>
    <n v="314.91000000000003"/>
    <m/>
  </r>
  <r>
    <x v="502"/>
    <x v="112"/>
    <n v="278.39999999999998"/>
    <m/>
  </r>
  <r>
    <x v="503"/>
    <x v="82"/>
    <n v="1174.47"/>
    <m/>
  </r>
  <r>
    <x v="504"/>
    <x v="109"/>
    <n v="158.63999999999999"/>
    <m/>
  </r>
  <r>
    <x v="505"/>
    <x v="102"/>
    <n v="51236.26"/>
    <m/>
  </r>
  <r>
    <x v="506"/>
    <x v="8"/>
    <n v="-8.5"/>
    <m/>
  </r>
  <r>
    <x v="507"/>
    <x v="16"/>
    <n v="8.5"/>
    <m/>
  </r>
  <r>
    <x v="508"/>
    <x v="23"/>
    <n v="-159616.74"/>
    <m/>
  </r>
  <r>
    <x v="509"/>
    <x v="40"/>
    <n v="63012"/>
    <m/>
  </r>
  <r>
    <x v="510"/>
    <x v="41"/>
    <n v="5338.42"/>
    <m/>
  </r>
  <r>
    <x v="511"/>
    <x v="42"/>
    <n v="11439.91"/>
    <m/>
  </r>
  <r>
    <x v="512"/>
    <x v="43"/>
    <n v="215"/>
    <m/>
  </r>
  <r>
    <x v="513"/>
    <x v="44"/>
    <n v="1500"/>
    <m/>
  </r>
  <r>
    <x v="514"/>
    <x v="45"/>
    <n v="400"/>
    <m/>
  </r>
  <r>
    <x v="515"/>
    <x v="49"/>
    <n v="5750.62"/>
    <m/>
  </r>
  <r>
    <x v="516"/>
    <x v="51"/>
    <n v="6473.32"/>
    <m/>
  </r>
  <r>
    <x v="517"/>
    <x v="56"/>
    <n v="49040.06"/>
    <m/>
  </r>
  <r>
    <x v="518"/>
    <x v="61"/>
    <n v="2330.5700000000002"/>
    <m/>
  </r>
  <r>
    <x v="519"/>
    <x v="97"/>
    <n v="231.88"/>
    <m/>
  </r>
  <r>
    <x v="520"/>
    <x v="65"/>
    <n v="8887.7999999999993"/>
    <m/>
  </r>
  <r>
    <x v="521"/>
    <x v="72"/>
    <n v="1848.35"/>
    <m/>
  </r>
  <r>
    <x v="522"/>
    <x v="102"/>
    <n v="3148.81"/>
    <m/>
  </r>
  <r>
    <x v="523"/>
    <x v="103"/>
    <n v="53883.24"/>
    <m/>
  </r>
  <r>
    <x v="524"/>
    <x v="8"/>
    <n v="-52992.31"/>
    <m/>
  </r>
  <r>
    <x v="525"/>
    <x v="9"/>
    <n v="-890.93"/>
    <m/>
  </r>
  <r>
    <x v="526"/>
    <x v="23"/>
    <n v="-377712.5"/>
    <m/>
  </r>
  <r>
    <x v="527"/>
    <x v="40"/>
    <n v="141693.95000000001"/>
    <m/>
  </r>
  <r>
    <x v="528"/>
    <x v="41"/>
    <n v="11767.71"/>
    <m/>
  </r>
  <r>
    <x v="529"/>
    <x v="42"/>
    <n v="15156.13"/>
    <m/>
  </r>
  <r>
    <x v="530"/>
    <x v="43"/>
    <n v="600"/>
    <m/>
  </r>
  <r>
    <x v="531"/>
    <x v="47"/>
    <n v="210"/>
    <m/>
  </r>
  <r>
    <x v="532"/>
    <x v="49"/>
    <n v="4600.2700000000004"/>
    <m/>
  </r>
  <r>
    <x v="533"/>
    <x v="50"/>
    <n v="552"/>
    <m/>
  </r>
  <r>
    <x v="534"/>
    <x v="53"/>
    <n v="37.979999999999997"/>
    <m/>
  </r>
  <r>
    <x v="535"/>
    <x v="55"/>
    <n v="6014.64"/>
    <m/>
  </r>
  <r>
    <x v="536"/>
    <x v="58"/>
    <n v="115.75"/>
    <m/>
  </r>
  <r>
    <x v="537"/>
    <x v="61"/>
    <n v="17616.080000000002"/>
    <m/>
  </r>
  <r>
    <x v="538"/>
    <x v="67"/>
    <n v="4729.3"/>
    <m/>
  </r>
  <r>
    <x v="539"/>
    <x v="117"/>
    <n v="262.5"/>
    <m/>
  </r>
  <r>
    <x v="540"/>
    <x v="71"/>
    <n v="22269.16"/>
    <m/>
  </r>
  <r>
    <x v="541"/>
    <x v="72"/>
    <n v="4540.55"/>
    <m/>
  </r>
  <r>
    <x v="542"/>
    <x v="73"/>
    <n v="480.59"/>
    <m/>
  </r>
  <r>
    <x v="543"/>
    <x v="76"/>
    <n v="21.67"/>
    <m/>
  </r>
  <r>
    <x v="544"/>
    <x v="82"/>
    <n v="94693.51"/>
    <m/>
  </r>
  <r>
    <x v="545"/>
    <x v="102"/>
    <n v="52350.71"/>
    <m/>
  </r>
  <r>
    <x v="546"/>
    <x v="103"/>
    <n v="7667.88"/>
    <m/>
  </r>
  <r>
    <x v="547"/>
    <x v="8"/>
    <n v="-6181.97"/>
    <m/>
  </r>
  <r>
    <x v="548"/>
    <x v="9"/>
    <n v="-1485.91"/>
    <m/>
  </r>
  <r>
    <x v="549"/>
    <x v="23"/>
    <n v="-233039.55"/>
    <m/>
  </r>
  <r>
    <x v="550"/>
    <x v="40"/>
    <n v="120103.21"/>
    <m/>
  </r>
  <r>
    <x v="551"/>
    <x v="41"/>
    <n v="10136.01"/>
    <m/>
  </r>
  <r>
    <x v="552"/>
    <x v="42"/>
    <n v="11350.42"/>
    <m/>
  </r>
  <r>
    <x v="553"/>
    <x v="44"/>
    <n v="9800"/>
    <m/>
  </r>
  <r>
    <x v="554"/>
    <x v="49"/>
    <n v="4097.54"/>
    <m/>
  </r>
  <r>
    <x v="555"/>
    <x v="50"/>
    <n v="1581.33"/>
    <m/>
  </r>
  <r>
    <x v="556"/>
    <x v="54"/>
    <n v="154.80000000000001"/>
    <m/>
  </r>
  <r>
    <x v="557"/>
    <x v="58"/>
    <n v="810.99"/>
    <m/>
  </r>
  <r>
    <x v="558"/>
    <x v="61"/>
    <n v="2161.38"/>
    <m/>
  </r>
  <r>
    <x v="559"/>
    <x v="117"/>
    <n v="262.5"/>
    <m/>
  </r>
  <r>
    <x v="560"/>
    <x v="71"/>
    <n v="11363.65"/>
    <m/>
  </r>
  <r>
    <x v="561"/>
    <x v="72"/>
    <n v="6872.99"/>
    <m/>
  </r>
  <r>
    <x v="562"/>
    <x v="73"/>
    <n v="458.15"/>
    <m/>
  </r>
  <r>
    <x v="563"/>
    <x v="76"/>
    <n v="678.09"/>
    <m/>
  </r>
  <r>
    <x v="564"/>
    <x v="78"/>
    <n v="1400"/>
    <m/>
  </r>
  <r>
    <x v="565"/>
    <x v="82"/>
    <n v="19509.36"/>
    <m/>
  </r>
  <r>
    <x v="566"/>
    <x v="102"/>
    <n v="32299.13"/>
    <m/>
  </r>
  <r>
    <x v="567"/>
    <x v="103"/>
    <n v="4643.5200000000004"/>
    <m/>
  </r>
  <r>
    <x v="568"/>
    <x v="8"/>
    <n v="-4643.5200000000004"/>
    <m/>
  </r>
  <r>
    <x v="569"/>
    <x v="23"/>
    <n v="-136130.85"/>
    <m/>
  </r>
  <r>
    <x v="570"/>
    <x v="40"/>
    <n v="66720"/>
    <m/>
  </r>
  <r>
    <x v="571"/>
    <x v="41"/>
    <n v="5195.84"/>
    <m/>
  </r>
  <r>
    <x v="572"/>
    <x v="42"/>
    <n v="21382"/>
    <m/>
  </r>
  <r>
    <x v="573"/>
    <x v="49"/>
    <n v="4278.6899999999996"/>
    <m/>
  </r>
  <r>
    <x v="574"/>
    <x v="106"/>
    <n v="931.84"/>
    <m/>
  </r>
  <r>
    <x v="575"/>
    <x v="50"/>
    <n v="276"/>
    <m/>
  </r>
  <r>
    <x v="576"/>
    <x v="51"/>
    <n v="-3222.39"/>
    <m/>
  </r>
  <r>
    <x v="577"/>
    <x v="56"/>
    <n v="2065.87"/>
    <m/>
  </r>
  <r>
    <x v="578"/>
    <x v="58"/>
    <n v="438.37"/>
    <m/>
  </r>
  <r>
    <x v="579"/>
    <x v="61"/>
    <n v="3367.9"/>
    <m/>
  </r>
  <r>
    <x v="580"/>
    <x v="117"/>
    <n v="262.5"/>
    <m/>
  </r>
  <r>
    <x v="581"/>
    <x v="71"/>
    <n v="2517.4299999999998"/>
    <m/>
  </r>
  <r>
    <x v="582"/>
    <x v="73"/>
    <n v="684.33"/>
    <m/>
  </r>
  <r>
    <x v="583"/>
    <x v="87"/>
    <n v="513"/>
    <m/>
  </r>
  <r>
    <x v="584"/>
    <x v="91"/>
    <n v="2617.9299999999998"/>
    <m/>
  </r>
  <r>
    <x v="585"/>
    <x v="115"/>
    <n v="5047.33"/>
    <m/>
  </r>
  <r>
    <x v="586"/>
    <x v="95"/>
    <n v="6234.52"/>
    <m/>
  </r>
  <r>
    <x v="587"/>
    <x v="109"/>
    <n v="3232.22"/>
    <m/>
  </r>
  <r>
    <x v="588"/>
    <x v="102"/>
    <n v="13587.47"/>
    <m/>
  </r>
  <r>
    <x v="589"/>
    <x v="8"/>
    <n v="33437.910000000003"/>
    <m/>
  </r>
  <r>
    <x v="590"/>
    <x v="96"/>
    <n v="-33417.910000000003"/>
    <m/>
  </r>
  <r>
    <x v="591"/>
    <x v="20"/>
    <n v="-20"/>
    <m/>
  </r>
  <r>
    <x v="592"/>
    <x v="8"/>
    <n v="51883.32"/>
    <m/>
  </r>
  <r>
    <x v="593"/>
    <x v="96"/>
    <n v="-51883.32"/>
    <m/>
  </r>
  <r>
    <x v="594"/>
    <x v="23"/>
    <n v="-66617.320000000007"/>
    <m/>
  </r>
  <r>
    <x v="595"/>
    <x v="44"/>
    <n v="7500"/>
    <m/>
  </r>
  <r>
    <x v="596"/>
    <x v="92"/>
    <n v="59117.32"/>
    <m/>
  </r>
  <r>
    <x v="597"/>
    <x v="8"/>
    <n v="1505.01"/>
    <m/>
  </r>
  <r>
    <x v="598"/>
    <x v="96"/>
    <n v="-1505.01"/>
    <m/>
  </r>
  <r>
    <x v="599"/>
    <x v="23"/>
    <n v="-17566.14"/>
    <m/>
  </r>
  <r>
    <x v="600"/>
    <x v="45"/>
    <n v="15800"/>
    <m/>
  </r>
  <r>
    <x v="601"/>
    <x v="71"/>
    <n v="1521.36"/>
    <m/>
  </r>
  <r>
    <x v="602"/>
    <x v="102"/>
    <n v="244.78"/>
    <m/>
  </r>
  <r>
    <x v="603"/>
    <x v="103"/>
    <n v="16011.84"/>
    <m/>
  </r>
  <r>
    <x v="604"/>
    <x v="8"/>
    <n v="-15491.6"/>
    <m/>
  </r>
  <r>
    <x v="605"/>
    <x v="9"/>
    <n v="-520.24"/>
    <m/>
  </r>
  <r>
    <x v="606"/>
    <x v="23"/>
    <n v="-121441.84"/>
    <m/>
  </r>
  <r>
    <x v="607"/>
    <x v="40"/>
    <n v="81730.789999999994"/>
    <m/>
  </r>
  <r>
    <x v="608"/>
    <x v="41"/>
    <n v="6358.27"/>
    <m/>
  </r>
  <r>
    <x v="609"/>
    <x v="42"/>
    <n v="13197.29"/>
    <m/>
  </r>
  <r>
    <x v="610"/>
    <x v="49"/>
    <n v="1500.55"/>
    <m/>
  </r>
  <r>
    <x v="611"/>
    <x v="50"/>
    <n v="276"/>
    <m/>
  </r>
  <r>
    <x v="612"/>
    <x v="61"/>
    <n v="1547.18"/>
    <m/>
  </r>
  <r>
    <x v="613"/>
    <x v="102"/>
    <n v="16831.759999999998"/>
    <m/>
  </r>
  <r>
    <x v="614"/>
    <x v="8"/>
    <n v="298.64"/>
    <m/>
  </r>
  <r>
    <x v="615"/>
    <x v="96"/>
    <n v="-298.64"/>
    <m/>
  </r>
  <r>
    <x v="616"/>
    <x v="23"/>
    <n v="-35130.839999999997"/>
    <m/>
  </r>
  <r>
    <x v="617"/>
    <x v="40"/>
    <n v="22803.26"/>
    <m/>
  </r>
  <r>
    <x v="618"/>
    <x v="41"/>
    <n v="2031.91"/>
    <m/>
  </r>
  <r>
    <x v="619"/>
    <x v="42"/>
    <n v="1472.78"/>
    <m/>
  </r>
  <r>
    <x v="620"/>
    <x v="61"/>
    <n v="3722.66"/>
    <m/>
  </r>
  <r>
    <x v="621"/>
    <x v="71"/>
    <n v="231.12"/>
    <m/>
  </r>
  <r>
    <x v="622"/>
    <x v="102"/>
    <n v="4869.1099999999997"/>
    <m/>
  </r>
  <r>
    <x v="623"/>
    <x v="103"/>
    <n v="1815.07"/>
    <m/>
  </r>
  <r>
    <x v="624"/>
    <x v="8"/>
    <n v="-1815.07"/>
    <m/>
  </r>
  <r>
    <x v="625"/>
    <x v="23"/>
    <n v="-160923.1"/>
    <m/>
  </r>
  <r>
    <x v="626"/>
    <x v="40"/>
    <n v="50619"/>
    <m/>
  </r>
  <r>
    <x v="627"/>
    <x v="41"/>
    <n v="4321.0600000000004"/>
    <m/>
  </r>
  <r>
    <x v="628"/>
    <x v="42"/>
    <n v="2853.98"/>
    <m/>
  </r>
  <r>
    <x v="629"/>
    <x v="49"/>
    <n v="904.3"/>
    <m/>
  </r>
  <r>
    <x v="630"/>
    <x v="50"/>
    <n v="276"/>
    <m/>
  </r>
  <r>
    <x v="631"/>
    <x v="57"/>
    <n v="89294"/>
    <m/>
  </r>
  <r>
    <x v="632"/>
    <x v="71"/>
    <n v="1527.02"/>
    <m/>
  </r>
  <r>
    <x v="633"/>
    <x v="72"/>
    <n v="1200"/>
    <m/>
  </r>
  <r>
    <x v="634"/>
    <x v="102"/>
    <n v="9927.74"/>
    <m/>
  </r>
  <r>
    <x v="635"/>
    <x v="8"/>
    <n v="11192.54"/>
    <m/>
  </r>
  <r>
    <x v="636"/>
    <x v="96"/>
    <n v="-11192.54"/>
    <m/>
  </r>
  <r>
    <x v="637"/>
    <x v="23"/>
    <n v="-70753.460000000006"/>
    <m/>
  </r>
  <r>
    <x v="638"/>
    <x v="40"/>
    <n v="60745"/>
    <m/>
  </r>
  <r>
    <x v="639"/>
    <x v="41"/>
    <n v="5706.72"/>
    <m/>
  </r>
  <r>
    <x v="640"/>
    <x v="47"/>
    <n v="7.43"/>
    <m/>
  </r>
  <r>
    <x v="641"/>
    <x v="49"/>
    <n v="1065.69"/>
    <m/>
  </r>
  <r>
    <x v="642"/>
    <x v="70"/>
    <n v="1643.05"/>
    <m/>
  </r>
  <r>
    <x v="643"/>
    <x v="71"/>
    <n v="1585.57"/>
    <m/>
  </r>
  <r>
    <x v="644"/>
    <x v="8"/>
    <n v="18828.48"/>
    <m/>
  </r>
  <r>
    <x v="645"/>
    <x v="96"/>
    <n v="-18828.48"/>
    <m/>
  </r>
  <r>
    <x v="646"/>
    <x v="23"/>
    <n v="-13709.52"/>
    <m/>
  </r>
  <r>
    <x v="647"/>
    <x v="43"/>
    <n v="12690.5"/>
    <m/>
  </r>
  <r>
    <x v="648"/>
    <x v="71"/>
    <n v="543.28"/>
    <m/>
  </r>
  <r>
    <x v="649"/>
    <x v="73"/>
    <n v="136.47"/>
    <m/>
  </r>
  <r>
    <x v="650"/>
    <x v="82"/>
    <n v="339.27"/>
    <m/>
  </r>
  <r>
    <x v="651"/>
    <x v="8"/>
    <n v="2656.76"/>
    <m/>
  </r>
  <r>
    <x v="652"/>
    <x v="96"/>
    <n v="-2656.76"/>
    <m/>
  </r>
  <r>
    <x v="653"/>
    <x v="23"/>
    <n v="-37343.24"/>
    <m/>
  </r>
  <r>
    <x v="654"/>
    <x v="44"/>
    <n v="3000"/>
    <m/>
  </r>
  <r>
    <x v="655"/>
    <x v="49"/>
    <n v="26438.46"/>
    <m/>
  </r>
  <r>
    <x v="656"/>
    <x v="50"/>
    <n v="2636.73"/>
    <m/>
  </r>
  <r>
    <x v="657"/>
    <x v="51"/>
    <n v="2768.05"/>
    <m/>
  </r>
  <r>
    <x v="658"/>
    <x v="76"/>
    <n v="2500"/>
    <m/>
  </r>
  <r>
    <x v="659"/>
    <x v="103"/>
    <n v="28221.4"/>
    <m/>
  </r>
  <r>
    <x v="660"/>
    <x v="8"/>
    <n v="-28221.4"/>
    <m/>
  </r>
  <r>
    <x v="661"/>
    <x v="23"/>
    <n v="-28221.4"/>
    <m/>
  </r>
  <r>
    <x v="662"/>
    <x v="76"/>
    <n v="23387.200000000001"/>
    <m/>
  </r>
  <r>
    <x v="663"/>
    <x v="113"/>
    <n v="4211.88"/>
    <m/>
  </r>
  <r>
    <x v="664"/>
    <x v="109"/>
    <n v="622.32000000000005"/>
    <m/>
  </r>
  <r>
    <x v="665"/>
    <x v="8"/>
    <n v="8793529.6899999995"/>
    <m/>
  </r>
  <r>
    <x v="666"/>
    <x v="9"/>
    <n v="-86744.29"/>
    <m/>
  </r>
  <r>
    <x v="667"/>
    <x v="20"/>
    <n v="-6007075.8700000001"/>
    <m/>
  </r>
  <r>
    <x v="668"/>
    <x v="124"/>
    <n v="-6311004.2300000004"/>
    <m/>
  </r>
  <r>
    <x v="669"/>
    <x v="40"/>
    <n v="6060"/>
    <m/>
  </r>
  <r>
    <x v="670"/>
    <x v="41"/>
    <n v="510.97"/>
    <m/>
  </r>
  <r>
    <x v="671"/>
    <x v="42"/>
    <n v="230.02"/>
    <m/>
  </r>
  <r>
    <x v="672"/>
    <x v="43"/>
    <n v="2580"/>
    <m/>
  </r>
  <r>
    <x v="673"/>
    <x v="44"/>
    <n v="57486.48"/>
    <m/>
  </r>
  <r>
    <x v="674"/>
    <x v="49"/>
    <n v="20476.43"/>
    <m/>
  </r>
  <r>
    <x v="675"/>
    <x v="106"/>
    <n v="42.19"/>
    <m/>
  </r>
  <r>
    <x v="676"/>
    <x v="51"/>
    <n v="19965.849999999999"/>
    <m/>
  </r>
  <r>
    <x v="677"/>
    <x v="53"/>
    <n v="515"/>
    <m/>
  </r>
  <r>
    <x v="678"/>
    <x v="56"/>
    <n v="408.46"/>
    <m/>
  </r>
  <r>
    <x v="679"/>
    <x v="57"/>
    <n v="440"/>
    <m/>
  </r>
  <r>
    <x v="680"/>
    <x v="58"/>
    <n v="9294.7199999999993"/>
    <m/>
  </r>
  <r>
    <x v="681"/>
    <x v="61"/>
    <n v="5037.51"/>
    <m/>
  </r>
  <r>
    <x v="682"/>
    <x v="62"/>
    <n v="1687.88"/>
    <m/>
  </r>
  <r>
    <x v="683"/>
    <x v="64"/>
    <n v="69396.5"/>
    <m/>
  </r>
  <r>
    <x v="684"/>
    <x v="65"/>
    <n v="420.83"/>
    <m/>
  </r>
  <r>
    <x v="685"/>
    <x v="98"/>
    <n v="11556.45"/>
    <m/>
  </r>
  <r>
    <x v="686"/>
    <x v="67"/>
    <n v="3607.68"/>
    <m/>
  </r>
  <r>
    <x v="687"/>
    <x v="117"/>
    <n v="5023"/>
    <m/>
  </r>
  <r>
    <x v="688"/>
    <x v="69"/>
    <n v="34375"/>
    <m/>
  </r>
  <r>
    <x v="689"/>
    <x v="71"/>
    <n v="30758.1"/>
    <m/>
  </r>
  <r>
    <x v="690"/>
    <x v="72"/>
    <n v="16730"/>
    <m/>
  </r>
  <r>
    <x v="691"/>
    <x v="99"/>
    <n v="1687.24"/>
    <m/>
  </r>
  <r>
    <x v="692"/>
    <x v="73"/>
    <n v="35535.160000000003"/>
    <m/>
  </r>
  <r>
    <x v="693"/>
    <x v="125"/>
    <n v="2400"/>
    <m/>
  </r>
  <r>
    <x v="694"/>
    <x v="76"/>
    <n v="21274.13"/>
    <m/>
  </r>
  <r>
    <x v="695"/>
    <x v="77"/>
    <n v="31821.51"/>
    <m/>
  </r>
  <r>
    <x v="696"/>
    <x v="78"/>
    <n v="193642.27"/>
    <m/>
  </r>
  <r>
    <x v="697"/>
    <x v="79"/>
    <n v="13932.72"/>
    <m/>
  </r>
  <r>
    <x v="698"/>
    <x v="118"/>
    <n v="193"/>
    <m/>
  </r>
  <r>
    <x v="699"/>
    <x v="80"/>
    <n v="3715"/>
    <m/>
  </r>
  <r>
    <x v="700"/>
    <x v="126"/>
    <n v="7314.4"/>
    <m/>
  </r>
  <r>
    <x v="701"/>
    <x v="82"/>
    <n v="118193.66"/>
    <m/>
  </r>
  <r>
    <x v="702"/>
    <x v="83"/>
    <n v="30667.32"/>
    <m/>
  </r>
  <r>
    <x v="703"/>
    <x v="101"/>
    <n v="41176.46"/>
    <m/>
  </r>
  <r>
    <x v="704"/>
    <x v="84"/>
    <n v="536"/>
    <m/>
  </r>
  <r>
    <x v="705"/>
    <x v="85"/>
    <n v="3322.2"/>
    <m/>
  </r>
  <r>
    <x v="706"/>
    <x v="88"/>
    <n v="102853.62"/>
    <m/>
  </r>
  <r>
    <x v="707"/>
    <x v="127"/>
    <n v="1914308.9"/>
    <m/>
  </r>
  <r>
    <x v="708"/>
    <x v="90"/>
    <n v="699.64"/>
    <m/>
  </r>
  <r>
    <x v="709"/>
    <x v="91"/>
    <n v="136727.76"/>
    <m/>
  </r>
  <r>
    <x v="710"/>
    <x v="115"/>
    <n v="46893.63"/>
    <m/>
  </r>
  <r>
    <x v="711"/>
    <x v="92"/>
    <n v="379035.69"/>
    <m/>
  </r>
  <r>
    <x v="712"/>
    <x v="93"/>
    <n v="33650"/>
    <m/>
  </r>
  <r>
    <x v="713"/>
    <x v="122"/>
    <n v="113140.46"/>
    <m/>
  </r>
  <r>
    <x v="714"/>
    <x v="94"/>
    <n v="803.14"/>
    <m/>
  </r>
  <r>
    <x v="715"/>
    <x v="121"/>
    <n v="17956.93"/>
    <m/>
  </r>
  <r>
    <x v="716"/>
    <x v="128"/>
    <n v="63210.79"/>
    <m/>
  </r>
  <r>
    <x v="717"/>
    <x v="20"/>
    <n v="109728.66"/>
    <m/>
  </r>
  <r>
    <x v="718"/>
    <x v="40"/>
    <n v="-109728.66"/>
    <m/>
  </r>
  <r>
    <x v="719"/>
    <x v="129"/>
    <n v="8491767"/>
    <m/>
  </r>
  <r>
    <x v="720"/>
    <x v="130"/>
    <n v="160000"/>
    <m/>
  </r>
  <r>
    <x v="721"/>
    <x v="131"/>
    <n v="3165350.42"/>
    <m/>
  </r>
  <r>
    <x v="722"/>
    <x v="65"/>
    <n v="633687.76"/>
    <m/>
  </r>
  <r>
    <x v="723"/>
    <x v="132"/>
    <n v="841618.1"/>
    <m/>
  </r>
  <r>
    <x v="724"/>
    <x v="133"/>
    <n v="-2078239.03"/>
    <m/>
  </r>
  <r>
    <x v="725"/>
    <x v="134"/>
    <n v="362042.5"/>
    <m/>
  </r>
  <r>
    <x v="726"/>
    <x v="20"/>
    <n v="-469751.43"/>
    <m/>
  </r>
  <r>
    <x v="727"/>
    <x v="135"/>
    <n v="-11106475.32"/>
    <m/>
  </r>
  <r>
    <x v="728"/>
    <x v="8"/>
    <n v="-1280386.19"/>
    <m/>
  </r>
  <r>
    <x v="729"/>
    <x v="136"/>
    <n v="-62710.26"/>
    <m/>
  </r>
  <r>
    <x v="730"/>
    <x v="137"/>
    <n v="-585033.73"/>
    <m/>
  </r>
  <r>
    <x v="731"/>
    <x v="138"/>
    <n v="-1763664.54"/>
    <m/>
  </r>
  <r>
    <x v="732"/>
    <x v="139"/>
    <n v="-83465.47"/>
    <m/>
  </r>
  <r>
    <x v="733"/>
    <x v="140"/>
    <n v="-49431.46"/>
    <m/>
  </r>
  <r>
    <x v="734"/>
    <x v="141"/>
    <n v="-7101312.0300000003"/>
    <m/>
  </r>
  <r>
    <x v="735"/>
    <x v="142"/>
    <n v="-929258.24"/>
    <m/>
  </r>
  <r>
    <x v="736"/>
    <x v="20"/>
    <n v="7484182.5300000003"/>
    <m/>
  </r>
  <r>
    <x v="737"/>
    <x v="135"/>
    <n v="4371079.3899999997"/>
    <m/>
  </r>
  <r>
    <x v="0"/>
    <x v="0"/>
    <m/>
    <n v="788177.94"/>
  </r>
  <r>
    <x v="1"/>
    <x v="1"/>
    <m/>
    <n v="-77476.81"/>
  </r>
  <r>
    <x v="2"/>
    <x v="2"/>
    <m/>
    <n v="12631.96"/>
  </r>
  <r>
    <x v="3"/>
    <x v="3"/>
    <m/>
    <n v="7274874.46"/>
  </r>
  <r>
    <x v="4"/>
    <x v="4"/>
    <m/>
    <n v="52477.31"/>
  </r>
  <r>
    <x v="5"/>
    <x v="5"/>
    <m/>
    <n v="35486.43"/>
  </r>
  <r>
    <x v="6"/>
    <x v="6"/>
    <m/>
    <n v="7045.07"/>
  </r>
  <r>
    <x v="738"/>
    <x v="110"/>
    <m/>
    <n v="-500"/>
  </r>
  <r>
    <x v="7"/>
    <x v="7"/>
    <m/>
    <n v="975400.76"/>
  </r>
  <r>
    <x v="8"/>
    <x v="8"/>
    <m/>
    <n v="-9205428.9900000002"/>
  </r>
  <r>
    <x v="9"/>
    <x v="9"/>
    <m/>
    <n v="-159315.92000000001"/>
  </r>
  <r>
    <x v="10"/>
    <x v="10"/>
    <m/>
    <n v="6211.55"/>
  </r>
  <r>
    <x v="11"/>
    <x v="9"/>
    <m/>
    <n v="-8048.8"/>
  </r>
  <r>
    <x v="12"/>
    <x v="11"/>
    <m/>
    <n v="182.01"/>
  </r>
  <r>
    <x v="13"/>
    <x v="12"/>
    <m/>
    <n v="-22045"/>
  </r>
  <r>
    <x v="14"/>
    <x v="13"/>
    <m/>
    <n v="-20717.82"/>
  </r>
  <r>
    <x v="15"/>
    <x v="14"/>
    <m/>
    <n v="-69762.05"/>
  </r>
  <r>
    <x v="16"/>
    <x v="15"/>
    <m/>
    <n v="2538"/>
  </r>
  <r>
    <x v="17"/>
    <x v="16"/>
    <m/>
    <n v="-3176.21"/>
  </r>
  <r>
    <x v="18"/>
    <x v="17"/>
    <m/>
    <n v="-539"/>
  </r>
  <r>
    <x v="19"/>
    <x v="18"/>
    <m/>
    <n v="-4622.6499999999996"/>
  </r>
  <r>
    <x v="20"/>
    <x v="19"/>
    <m/>
    <n v="-49163.35"/>
  </r>
  <r>
    <x v="21"/>
    <x v="20"/>
    <m/>
    <n v="499935.85"/>
  </r>
  <r>
    <x v="22"/>
    <x v="21"/>
    <m/>
    <n v="657354.77"/>
  </r>
  <r>
    <x v="23"/>
    <x v="22"/>
    <m/>
    <n v="-657354.77"/>
  </r>
  <r>
    <x v="24"/>
    <x v="23"/>
    <m/>
    <n v="-950261"/>
  </r>
  <r>
    <x v="25"/>
    <x v="24"/>
    <m/>
    <n v="-131559"/>
  </r>
  <r>
    <x v="26"/>
    <x v="25"/>
    <m/>
    <n v="-6874.01"/>
  </r>
  <r>
    <x v="27"/>
    <x v="26"/>
    <m/>
    <n v="-31529.200000000001"/>
  </r>
  <r>
    <x v="28"/>
    <x v="27"/>
    <m/>
    <n v="-88787.77"/>
  </r>
  <r>
    <x v="739"/>
    <x v="143"/>
    <m/>
    <n v="-2271.35"/>
  </r>
  <r>
    <x v="740"/>
    <x v="144"/>
    <m/>
    <n v="-1448.51"/>
  </r>
  <r>
    <x v="29"/>
    <x v="28"/>
    <m/>
    <n v="-28786"/>
  </r>
  <r>
    <x v="30"/>
    <x v="29"/>
    <m/>
    <n v="-2525.75"/>
  </r>
  <r>
    <x v="31"/>
    <x v="30"/>
    <m/>
    <n v="-1391.75"/>
  </r>
  <r>
    <x v="32"/>
    <x v="31"/>
    <m/>
    <n v="-16800"/>
  </r>
  <r>
    <x v="33"/>
    <x v="32"/>
    <m/>
    <n v="-190069.49"/>
  </r>
  <r>
    <x v="34"/>
    <x v="33"/>
    <m/>
    <n v="-75360.240000000005"/>
  </r>
  <r>
    <x v="35"/>
    <x v="34"/>
    <m/>
    <n v="-111612.59"/>
  </r>
  <r>
    <x v="36"/>
    <x v="35"/>
    <m/>
    <n v="-3688"/>
  </r>
  <r>
    <x v="37"/>
    <x v="36"/>
    <m/>
    <n v="-970"/>
  </r>
  <r>
    <x v="38"/>
    <x v="37"/>
    <m/>
    <n v="-1100000"/>
  </r>
  <r>
    <x v="39"/>
    <x v="38"/>
    <m/>
    <n v="-800000"/>
  </r>
  <r>
    <x v="741"/>
    <x v="145"/>
    <m/>
    <n v="-1027222.69"/>
  </r>
  <r>
    <x v="742"/>
    <x v="146"/>
    <m/>
    <n v="-250000"/>
  </r>
  <r>
    <x v="41"/>
    <x v="40"/>
    <m/>
    <n v="388178.94"/>
  </r>
  <r>
    <x v="42"/>
    <x v="41"/>
    <m/>
    <n v="27834.02"/>
  </r>
  <r>
    <x v="43"/>
    <x v="42"/>
    <m/>
    <n v="95997.9"/>
  </r>
  <r>
    <x v="44"/>
    <x v="43"/>
    <m/>
    <n v="10950"/>
  </r>
  <r>
    <x v="45"/>
    <x v="44"/>
    <m/>
    <n v="180542.98"/>
  </r>
  <r>
    <x v="46"/>
    <x v="45"/>
    <m/>
    <n v="13672.96"/>
  </r>
  <r>
    <x v="47"/>
    <x v="46"/>
    <m/>
    <n v="15526"/>
  </r>
  <r>
    <x v="48"/>
    <x v="47"/>
    <m/>
    <n v="131.61000000000001"/>
  </r>
  <r>
    <x v="49"/>
    <x v="48"/>
    <m/>
    <n v="23612.14"/>
  </r>
  <r>
    <x v="50"/>
    <x v="49"/>
    <m/>
    <n v="52823.06"/>
  </r>
  <r>
    <x v="51"/>
    <x v="50"/>
    <m/>
    <n v="26658.12"/>
  </r>
  <r>
    <x v="52"/>
    <x v="51"/>
    <m/>
    <n v="17875.57"/>
  </r>
  <r>
    <x v="53"/>
    <x v="52"/>
    <m/>
    <n v="40.090000000000003"/>
  </r>
  <r>
    <x v="54"/>
    <x v="53"/>
    <m/>
    <n v="8152.69"/>
  </r>
  <r>
    <x v="55"/>
    <x v="54"/>
    <m/>
    <n v="64.989999999999995"/>
  </r>
  <r>
    <x v="56"/>
    <x v="55"/>
    <m/>
    <n v="351.53"/>
  </r>
  <r>
    <x v="57"/>
    <x v="56"/>
    <m/>
    <n v="13616.17"/>
  </r>
  <r>
    <x v="58"/>
    <x v="57"/>
    <m/>
    <n v="237"/>
  </r>
  <r>
    <x v="59"/>
    <x v="58"/>
    <m/>
    <n v="26770.35"/>
  </r>
  <r>
    <x v="60"/>
    <x v="59"/>
    <m/>
    <n v="1151.8399999999999"/>
  </r>
  <r>
    <x v="61"/>
    <x v="60"/>
    <m/>
    <n v="75.55"/>
  </r>
  <r>
    <x v="62"/>
    <x v="61"/>
    <m/>
    <n v="9777.82"/>
  </r>
  <r>
    <x v="63"/>
    <x v="62"/>
    <m/>
    <n v="209331.48"/>
  </r>
  <r>
    <x v="64"/>
    <x v="63"/>
    <m/>
    <n v="179"/>
  </r>
  <r>
    <x v="65"/>
    <x v="64"/>
    <m/>
    <n v="259414.35"/>
  </r>
  <r>
    <x v="743"/>
    <x v="147"/>
    <m/>
    <n v="1676048.59"/>
  </r>
  <r>
    <x v="66"/>
    <x v="65"/>
    <m/>
    <n v="159358.45000000001"/>
  </r>
  <r>
    <x v="67"/>
    <x v="66"/>
    <m/>
    <n v="1560"/>
  </r>
  <r>
    <x v="68"/>
    <x v="67"/>
    <m/>
    <n v="8413.93"/>
  </r>
  <r>
    <x v="69"/>
    <x v="68"/>
    <m/>
    <n v="3678.62"/>
  </r>
  <r>
    <x v="70"/>
    <x v="69"/>
    <m/>
    <n v="600"/>
  </r>
  <r>
    <x v="71"/>
    <x v="70"/>
    <m/>
    <n v="1229.8"/>
  </r>
  <r>
    <x v="72"/>
    <x v="71"/>
    <m/>
    <n v="78677.23"/>
  </r>
  <r>
    <x v="73"/>
    <x v="72"/>
    <m/>
    <n v="175"/>
  </r>
  <r>
    <x v="74"/>
    <x v="73"/>
    <m/>
    <n v="35377.339999999997"/>
  </r>
  <r>
    <x v="75"/>
    <x v="74"/>
    <m/>
    <n v="1197.03"/>
  </r>
  <r>
    <x v="76"/>
    <x v="75"/>
    <m/>
    <n v="14070.18"/>
  </r>
  <r>
    <x v="77"/>
    <x v="76"/>
    <m/>
    <n v="17500.8"/>
  </r>
  <r>
    <x v="78"/>
    <x v="77"/>
    <m/>
    <n v="18711.97"/>
  </r>
  <r>
    <x v="79"/>
    <x v="78"/>
    <m/>
    <n v="12673.41"/>
  </r>
  <r>
    <x v="80"/>
    <x v="79"/>
    <m/>
    <n v="8270.8799999999992"/>
  </r>
  <r>
    <x v="81"/>
    <x v="80"/>
    <m/>
    <n v="11384.25"/>
  </r>
  <r>
    <x v="82"/>
    <x v="81"/>
    <m/>
    <n v="6877.49"/>
  </r>
  <r>
    <x v="83"/>
    <x v="82"/>
    <m/>
    <n v="50491.63"/>
  </r>
  <r>
    <x v="84"/>
    <x v="39"/>
    <m/>
    <n v="1598.06"/>
  </r>
  <r>
    <x v="85"/>
    <x v="83"/>
    <m/>
    <n v="12600"/>
  </r>
  <r>
    <x v="86"/>
    <x v="84"/>
    <m/>
    <n v="17773.97"/>
  </r>
  <r>
    <x v="87"/>
    <x v="85"/>
    <m/>
    <n v="6121.79"/>
  </r>
  <r>
    <x v="88"/>
    <x v="86"/>
    <m/>
    <n v="54579.67"/>
  </r>
  <r>
    <x v="89"/>
    <x v="87"/>
    <m/>
    <n v="200"/>
  </r>
  <r>
    <x v="90"/>
    <x v="88"/>
    <m/>
    <n v="565576.1"/>
  </r>
  <r>
    <x v="91"/>
    <x v="89"/>
    <m/>
    <n v="-633954.51"/>
  </r>
  <r>
    <x v="93"/>
    <x v="91"/>
    <m/>
    <n v="344188.47"/>
  </r>
  <r>
    <x v="94"/>
    <x v="92"/>
    <m/>
    <n v="50963.58"/>
  </r>
  <r>
    <x v="95"/>
    <x v="93"/>
    <m/>
    <n v="626064.43000000005"/>
  </r>
  <r>
    <x v="96"/>
    <x v="94"/>
    <m/>
    <n v="460.4"/>
  </r>
  <r>
    <x v="97"/>
    <x v="95"/>
    <m/>
    <n v="1557.89"/>
  </r>
  <r>
    <x v="744"/>
    <x v="148"/>
    <m/>
    <n v="250000"/>
  </r>
  <r>
    <x v="98"/>
    <x v="8"/>
    <m/>
    <n v="197530.38"/>
  </r>
  <r>
    <x v="99"/>
    <x v="9"/>
    <m/>
    <n v="-9012.5400000000009"/>
  </r>
  <r>
    <x v="100"/>
    <x v="96"/>
    <m/>
    <n v="-188517.84"/>
  </r>
  <r>
    <x v="101"/>
    <x v="23"/>
    <m/>
    <n v="-605096.37"/>
  </r>
  <r>
    <x v="102"/>
    <x v="40"/>
    <m/>
    <n v="196248.84"/>
  </r>
  <r>
    <x v="103"/>
    <x v="41"/>
    <m/>
    <n v="17717.87"/>
  </r>
  <r>
    <x v="104"/>
    <x v="42"/>
    <m/>
    <n v="90646.82"/>
  </r>
  <r>
    <x v="105"/>
    <x v="43"/>
    <m/>
    <n v="4500"/>
  </r>
  <r>
    <x v="106"/>
    <x v="44"/>
    <m/>
    <n v="40045.17"/>
  </r>
  <r>
    <x v="107"/>
    <x v="45"/>
    <m/>
    <n v="517.5"/>
  </r>
  <r>
    <x v="108"/>
    <x v="47"/>
    <m/>
    <n v="1070"/>
  </r>
  <r>
    <x v="109"/>
    <x v="49"/>
    <m/>
    <n v="7560.9"/>
  </r>
  <r>
    <x v="110"/>
    <x v="50"/>
    <m/>
    <n v="5696.16"/>
  </r>
  <r>
    <x v="111"/>
    <x v="51"/>
    <m/>
    <n v="553.28"/>
  </r>
  <r>
    <x v="112"/>
    <x v="56"/>
    <m/>
    <n v="4946.3900000000003"/>
  </r>
  <r>
    <x v="113"/>
    <x v="57"/>
    <m/>
    <n v="606"/>
  </r>
  <r>
    <x v="114"/>
    <x v="58"/>
    <m/>
    <n v="10798.01"/>
  </r>
  <r>
    <x v="115"/>
    <x v="59"/>
    <m/>
    <n v="5212.84"/>
  </r>
  <r>
    <x v="116"/>
    <x v="60"/>
    <m/>
    <n v="1025.8900000000001"/>
  </r>
  <r>
    <x v="117"/>
    <x v="61"/>
    <m/>
    <n v="2581.5700000000002"/>
  </r>
  <r>
    <x v="118"/>
    <x v="97"/>
    <m/>
    <n v="4210.47"/>
  </r>
  <r>
    <x v="119"/>
    <x v="65"/>
    <m/>
    <n v="8062.28"/>
  </r>
  <r>
    <x v="120"/>
    <x v="98"/>
    <m/>
    <n v="747.5"/>
  </r>
  <r>
    <x v="121"/>
    <x v="67"/>
    <m/>
    <n v="3652.45"/>
  </r>
  <r>
    <x v="122"/>
    <x v="68"/>
    <m/>
    <n v="107.25"/>
  </r>
  <r>
    <x v="123"/>
    <x v="69"/>
    <m/>
    <n v="3399.25"/>
  </r>
  <r>
    <x v="124"/>
    <x v="70"/>
    <m/>
    <n v="16.32"/>
  </r>
  <r>
    <x v="125"/>
    <x v="71"/>
    <m/>
    <n v="25609.4"/>
  </r>
  <r>
    <x v="126"/>
    <x v="72"/>
    <m/>
    <n v="7620.5"/>
  </r>
  <r>
    <x v="127"/>
    <x v="99"/>
    <m/>
    <n v="4626.59"/>
  </r>
  <r>
    <x v="128"/>
    <x v="73"/>
    <m/>
    <n v="14115.37"/>
  </r>
  <r>
    <x v="129"/>
    <x v="75"/>
    <m/>
    <n v="7891.56"/>
  </r>
  <r>
    <x v="130"/>
    <x v="76"/>
    <m/>
    <n v="6131.57"/>
  </r>
  <r>
    <x v="131"/>
    <x v="77"/>
    <m/>
    <n v="1900"/>
  </r>
  <r>
    <x v="132"/>
    <x v="100"/>
    <m/>
    <n v="735"/>
  </r>
  <r>
    <x v="133"/>
    <x v="79"/>
    <m/>
    <n v="493.47"/>
  </r>
  <r>
    <x v="134"/>
    <x v="82"/>
    <m/>
    <n v="6803.88"/>
  </r>
  <r>
    <x v="135"/>
    <x v="101"/>
    <m/>
    <n v="796.1"/>
  </r>
  <r>
    <x v="136"/>
    <x v="88"/>
    <m/>
    <n v="36435.1"/>
  </r>
  <r>
    <x v="137"/>
    <x v="90"/>
    <m/>
    <n v="2900"/>
  </r>
  <r>
    <x v="138"/>
    <x v="91"/>
    <m/>
    <n v="115"/>
  </r>
  <r>
    <x v="139"/>
    <x v="102"/>
    <m/>
    <n v="79000.070000000007"/>
  </r>
  <r>
    <x v="140"/>
    <x v="103"/>
    <m/>
    <n v="9866.18"/>
  </r>
  <r>
    <x v="141"/>
    <x v="8"/>
    <m/>
    <n v="-9547.74"/>
  </r>
  <r>
    <x v="142"/>
    <x v="9"/>
    <m/>
    <n v="-318.44"/>
  </r>
  <r>
    <x v="143"/>
    <x v="23"/>
    <m/>
    <n v="-24917.37"/>
  </r>
  <r>
    <x v="144"/>
    <x v="40"/>
    <m/>
    <n v="9132.64"/>
  </r>
  <r>
    <x v="145"/>
    <x v="41"/>
    <m/>
    <n v="1013.42"/>
  </r>
  <r>
    <x v="146"/>
    <x v="44"/>
    <m/>
    <n v="4100"/>
  </r>
  <r>
    <x v="745"/>
    <x v="47"/>
    <m/>
    <n v="55"/>
  </r>
  <r>
    <x v="147"/>
    <x v="49"/>
    <m/>
    <n v="1750.04"/>
  </r>
  <r>
    <x v="148"/>
    <x v="104"/>
    <m/>
    <n v="1453.85"/>
  </r>
  <r>
    <x v="149"/>
    <x v="53"/>
    <m/>
    <n v="2840.6"/>
  </r>
  <r>
    <x v="150"/>
    <x v="54"/>
    <m/>
    <n v="3867.11"/>
  </r>
  <r>
    <x v="151"/>
    <x v="72"/>
    <m/>
    <n v="704.71"/>
  </r>
  <r>
    <x v="152"/>
    <x v="8"/>
    <m/>
    <n v="5036.6099999999997"/>
  </r>
  <r>
    <x v="153"/>
    <x v="9"/>
    <m/>
    <n v="-900"/>
  </r>
  <r>
    <x v="154"/>
    <x v="96"/>
    <m/>
    <n v="-4136.6099999999997"/>
  </r>
  <r>
    <x v="155"/>
    <x v="23"/>
    <m/>
    <n v="-23388.77"/>
  </r>
  <r>
    <x v="156"/>
    <x v="101"/>
    <m/>
    <n v="21245.77"/>
  </r>
  <r>
    <x v="157"/>
    <x v="102"/>
    <m/>
    <n v="2143"/>
  </r>
  <r>
    <x v="158"/>
    <x v="8"/>
    <m/>
    <n v="41072.01"/>
  </r>
  <r>
    <x v="159"/>
    <x v="9"/>
    <m/>
    <n v="-1508.95"/>
  </r>
  <r>
    <x v="160"/>
    <x v="96"/>
    <m/>
    <n v="-39563.06"/>
  </r>
  <r>
    <x v="161"/>
    <x v="23"/>
    <m/>
    <n v="-43309.68"/>
  </r>
  <r>
    <x v="162"/>
    <x v="105"/>
    <m/>
    <n v="-30000"/>
  </r>
  <r>
    <x v="163"/>
    <x v="40"/>
    <m/>
    <n v="42058.75"/>
  </r>
  <r>
    <x v="164"/>
    <x v="41"/>
    <m/>
    <n v="3789.23"/>
  </r>
  <r>
    <x v="165"/>
    <x v="42"/>
    <m/>
    <n v="3249"/>
  </r>
  <r>
    <x v="166"/>
    <x v="43"/>
    <m/>
    <n v="1250"/>
  </r>
  <r>
    <x v="167"/>
    <x v="49"/>
    <m/>
    <n v="6045.82"/>
  </r>
  <r>
    <x v="168"/>
    <x v="106"/>
    <m/>
    <n v="99.58"/>
  </r>
  <r>
    <x v="169"/>
    <x v="104"/>
    <m/>
    <n v="17.63"/>
  </r>
  <r>
    <x v="170"/>
    <x v="107"/>
    <m/>
    <n v="312.51"/>
  </r>
  <r>
    <x v="171"/>
    <x v="61"/>
    <m/>
    <n v="4063.3"/>
  </r>
  <r>
    <x v="172"/>
    <x v="67"/>
    <m/>
    <n v="139.47999999999999"/>
  </r>
  <r>
    <x v="173"/>
    <x v="70"/>
    <m/>
    <n v="132"/>
  </r>
  <r>
    <x v="174"/>
    <x v="71"/>
    <m/>
    <n v="-246.62"/>
  </r>
  <r>
    <x v="175"/>
    <x v="72"/>
    <m/>
    <n v="448"/>
  </r>
  <r>
    <x v="176"/>
    <x v="73"/>
    <m/>
    <n v="90.91"/>
  </r>
  <r>
    <x v="177"/>
    <x v="76"/>
    <m/>
    <n v="10900.09"/>
  </r>
  <r>
    <x v="178"/>
    <x v="77"/>
    <m/>
    <n v="960"/>
  </r>
  <r>
    <x v="179"/>
    <x v="103"/>
    <m/>
    <n v="44329.69"/>
  </r>
  <r>
    <x v="180"/>
    <x v="8"/>
    <m/>
    <n v="-44329.69"/>
  </r>
  <r>
    <x v="181"/>
    <x v="23"/>
    <m/>
    <n v="-83404.759999999995"/>
  </r>
  <r>
    <x v="182"/>
    <x v="40"/>
    <m/>
    <n v="59385.97"/>
  </r>
  <r>
    <x v="183"/>
    <x v="41"/>
    <m/>
    <n v="5001.49"/>
  </r>
  <r>
    <x v="184"/>
    <x v="42"/>
    <m/>
    <n v="3412.46"/>
  </r>
  <r>
    <x v="185"/>
    <x v="49"/>
    <m/>
    <n v="670"/>
  </r>
  <r>
    <x v="186"/>
    <x v="56"/>
    <m/>
    <n v="225"/>
  </r>
  <r>
    <x v="187"/>
    <x v="58"/>
    <m/>
    <n v="1350"/>
  </r>
  <r>
    <x v="188"/>
    <x v="61"/>
    <m/>
    <n v="1800"/>
  </r>
  <r>
    <x v="189"/>
    <x v="102"/>
    <m/>
    <n v="11559.84"/>
  </r>
  <r>
    <x v="190"/>
    <x v="103"/>
    <m/>
    <n v="34432.019999999997"/>
  </r>
  <r>
    <x v="191"/>
    <x v="8"/>
    <m/>
    <n v="-34329.379999999997"/>
  </r>
  <r>
    <x v="192"/>
    <x v="9"/>
    <m/>
    <n v="-102.64"/>
  </r>
  <r>
    <x v="193"/>
    <x v="23"/>
    <m/>
    <n v="-86947.91"/>
  </r>
  <r>
    <x v="194"/>
    <x v="40"/>
    <m/>
    <n v="49107.92"/>
  </r>
  <r>
    <x v="195"/>
    <x v="41"/>
    <m/>
    <n v="4148.6499999999996"/>
  </r>
  <r>
    <x v="196"/>
    <x v="42"/>
    <m/>
    <n v="6397.47"/>
  </r>
  <r>
    <x v="197"/>
    <x v="49"/>
    <m/>
    <n v="1298.31"/>
  </r>
  <r>
    <x v="198"/>
    <x v="50"/>
    <m/>
    <n v="828"/>
  </r>
  <r>
    <x v="199"/>
    <x v="56"/>
    <m/>
    <n v="230.1"/>
  </r>
  <r>
    <x v="200"/>
    <x v="58"/>
    <m/>
    <n v="1893.58"/>
  </r>
  <r>
    <x v="201"/>
    <x v="61"/>
    <m/>
    <n v="2585.7399999999998"/>
  </r>
  <r>
    <x v="202"/>
    <x v="65"/>
    <m/>
    <n v="504.8"/>
  </r>
  <r>
    <x v="203"/>
    <x v="108"/>
    <m/>
    <n v="126.17"/>
  </r>
  <r>
    <x v="204"/>
    <x v="70"/>
    <m/>
    <n v="1913.41"/>
  </r>
  <r>
    <x v="205"/>
    <x v="71"/>
    <m/>
    <n v="5157.49"/>
  </r>
  <r>
    <x v="206"/>
    <x v="73"/>
    <m/>
    <n v="705.35"/>
  </r>
  <r>
    <x v="207"/>
    <x v="102"/>
    <m/>
    <n v="12050.92"/>
  </r>
  <r>
    <x v="208"/>
    <x v="103"/>
    <m/>
    <n v="47353.69"/>
  </r>
  <r>
    <x v="209"/>
    <x v="8"/>
    <m/>
    <n v="-46887.57"/>
  </r>
  <r>
    <x v="210"/>
    <x v="9"/>
    <m/>
    <n v="-466.12"/>
  </r>
  <r>
    <x v="211"/>
    <x v="23"/>
    <m/>
    <n v="-424105.22"/>
  </r>
  <r>
    <x v="212"/>
    <x v="40"/>
    <m/>
    <n v="186298.89"/>
  </r>
  <r>
    <x v="213"/>
    <x v="41"/>
    <m/>
    <n v="16506.21"/>
  </r>
  <r>
    <x v="214"/>
    <x v="42"/>
    <m/>
    <n v="5038.75"/>
  </r>
  <r>
    <x v="215"/>
    <x v="44"/>
    <m/>
    <n v="6750"/>
  </r>
  <r>
    <x v="216"/>
    <x v="45"/>
    <m/>
    <n v="2500"/>
  </r>
  <r>
    <x v="217"/>
    <x v="47"/>
    <m/>
    <n v="403.5"/>
  </r>
  <r>
    <x v="218"/>
    <x v="49"/>
    <m/>
    <n v="17703.8"/>
  </r>
  <r>
    <x v="219"/>
    <x v="50"/>
    <m/>
    <n v="1537.99"/>
  </r>
  <r>
    <x v="220"/>
    <x v="51"/>
    <m/>
    <n v="3596.91"/>
  </r>
  <r>
    <x v="221"/>
    <x v="52"/>
    <m/>
    <n v="1083.8699999999999"/>
  </r>
  <r>
    <x v="222"/>
    <x v="56"/>
    <m/>
    <n v="1110.7"/>
  </r>
  <r>
    <x v="223"/>
    <x v="58"/>
    <m/>
    <n v="2115.67"/>
  </r>
  <r>
    <x v="224"/>
    <x v="61"/>
    <m/>
    <n v="4245.68"/>
  </r>
  <r>
    <x v="746"/>
    <x v="64"/>
    <m/>
    <n v="4196.7299999999996"/>
  </r>
  <r>
    <x v="747"/>
    <x v="147"/>
    <m/>
    <n v="23709.27"/>
  </r>
  <r>
    <x v="226"/>
    <x v="67"/>
    <m/>
    <n v="-340.83"/>
  </r>
  <r>
    <x v="227"/>
    <x v="71"/>
    <m/>
    <n v="72026.64"/>
  </r>
  <r>
    <x v="228"/>
    <x v="72"/>
    <m/>
    <n v="3706.62"/>
  </r>
  <r>
    <x v="229"/>
    <x v="73"/>
    <m/>
    <n v="1078.8599999999999"/>
  </r>
  <r>
    <x v="230"/>
    <x v="77"/>
    <m/>
    <n v="3625.25"/>
  </r>
  <r>
    <x v="231"/>
    <x v="80"/>
    <m/>
    <n v="114.93"/>
  </r>
  <r>
    <x v="232"/>
    <x v="82"/>
    <m/>
    <n v="11117.03"/>
  </r>
  <r>
    <x v="233"/>
    <x v="109"/>
    <m/>
    <n v="1063.21"/>
  </r>
  <r>
    <x v="234"/>
    <x v="102"/>
    <m/>
    <n v="54915.54"/>
  </r>
  <r>
    <x v="235"/>
    <x v="110"/>
    <m/>
    <n v="500"/>
  </r>
  <r>
    <x v="236"/>
    <x v="8"/>
    <m/>
    <n v="73443.31"/>
  </r>
  <r>
    <x v="237"/>
    <x v="9"/>
    <m/>
    <n v="-5911.65"/>
  </r>
  <r>
    <x v="238"/>
    <x v="9"/>
    <m/>
    <n v="-23795.96"/>
  </r>
  <r>
    <x v="239"/>
    <x v="12"/>
    <m/>
    <n v="22045"/>
  </r>
  <r>
    <x v="240"/>
    <x v="111"/>
    <m/>
    <n v="-615.29"/>
  </r>
  <r>
    <x v="241"/>
    <x v="16"/>
    <m/>
    <n v="132.03"/>
  </r>
  <r>
    <x v="242"/>
    <x v="96"/>
    <m/>
    <n v="-65797.440000000002"/>
  </r>
  <r>
    <x v="243"/>
    <x v="23"/>
    <m/>
    <n v="-793637.3"/>
  </r>
  <r>
    <x v="244"/>
    <x v="40"/>
    <m/>
    <n v="397978.97"/>
  </r>
  <r>
    <x v="245"/>
    <x v="41"/>
    <m/>
    <n v="34042.800000000003"/>
  </r>
  <r>
    <x v="246"/>
    <x v="42"/>
    <m/>
    <n v="29948.38"/>
  </r>
  <r>
    <x v="748"/>
    <x v="149"/>
    <m/>
    <n v="500"/>
  </r>
  <r>
    <x v="247"/>
    <x v="43"/>
    <m/>
    <n v="18376"/>
  </r>
  <r>
    <x v="248"/>
    <x v="44"/>
    <m/>
    <n v="15267.09"/>
  </r>
  <r>
    <x v="249"/>
    <x v="45"/>
    <m/>
    <n v="49205.39"/>
  </r>
  <r>
    <x v="250"/>
    <x v="47"/>
    <m/>
    <n v="385"/>
  </r>
  <r>
    <x v="251"/>
    <x v="49"/>
    <m/>
    <n v="26862.240000000002"/>
  </r>
  <r>
    <x v="252"/>
    <x v="50"/>
    <m/>
    <n v="5401.77"/>
  </r>
  <r>
    <x v="253"/>
    <x v="51"/>
    <m/>
    <n v="6999.81"/>
  </r>
  <r>
    <x v="254"/>
    <x v="52"/>
    <m/>
    <n v="3525.97"/>
  </r>
  <r>
    <x v="255"/>
    <x v="53"/>
    <m/>
    <n v="-914.2"/>
  </r>
  <r>
    <x v="256"/>
    <x v="54"/>
    <m/>
    <n v="35"/>
  </r>
  <r>
    <x v="257"/>
    <x v="56"/>
    <m/>
    <n v="230.1"/>
  </r>
  <r>
    <x v="258"/>
    <x v="57"/>
    <m/>
    <n v="9600"/>
  </r>
  <r>
    <x v="259"/>
    <x v="58"/>
    <m/>
    <n v="12536.82"/>
  </r>
  <r>
    <x v="260"/>
    <x v="61"/>
    <m/>
    <n v="3949.55"/>
  </r>
  <r>
    <x v="261"/>
    <x v="63"/>
    <m/>
    <n v="1599"/>
  </r>
  <r>
    <x v="749"/>
    <x v="65"/>
    <m/>
    <n v="2653"/>
  </r>
  <r>
    <x v="262"/>
    <x v="66"/>
    <m/>
    <n v="18673.11"/>
  </r>
  <r>
    <x v="263"/>
    <x v="70"/>
    <m/>
    <n v="125.56"/>
  </r>
  <r>
    <x v="264"/>
    <x v="71"/>
    <m/>
    <n v="17551.37"/>
  </r>
  <r>
    <x v="265"/>
    <x v="72"/>
    <m/>
    <n v="270"/>
  </r>
  <r>
    <x v="266"/>
    <x v="73"/>
    <m/>
    <n v="7223.96"/>
  </r>
  <r>
    <x v="267"/>
    <x v="76"/>
    <m/>
    <n v="214.63"/>
  </r>
  <r>
    <x v="268"/>
    <x v="77"/>
    <m/>
    <n v="2298.84"/>
  </r>
  <r>
    <x v="269"/>
    <x v="112"/>
    <m/>
    <n v="7942.22"/>
  </r>
  <r>
    <x v="270"/>
    <x v="82"/>
    <m/>
    <n v="17387.71"/>
  </r>
  <r>
    <x v="271"/>
    <x v="39"/>
    <m/>
    <n v="38580.74"/>
  </r>
  <r>
    <x v="272"/>
    <x v="113"/>
    <m/>
    <n v="11359.21"/>
  </r>
  <r>
    <x v="273"/>
    <x v="114"/>
    <m/>
    <n v="2530.8000000000002"/>
  </r>
  <r>
    <x v="274"/>
    <x v="109"/>
    <m/>
    <n v="5233.6099999999997"/>
  </r>
  <r>
    <x v="275"/>
    <x v="102"/>
    <m/>
    <n v="46062.85"/>
  </r>
  <r>
    <x v="276"/>
    <x v="23"/>
    <m/>
    <n v="-3908.28"/>
  </r>
  <r>
    <x v="277"/>
    <x v="40"/>
    <m/>
    <n v="1351.5"/>
  </r>
  <r>
    <x v="278"/>
    <x v="41"/>
    <m/>
    <n v="147.78"/>
  </r>
  <r>
    <x v="279"/>
    <x v="115"/>
    <m/>
    <n v="2409"/>
  </r>
  <r>
    <x v="280"/>
    <x v="8"/>
    <m/>
    <n v="150905.46"/>
  </r>
  <r>
    <x v="281"/>
    <x v="9"/>
    <m/>
    <n v="-2516.9699999999998"/>
  </r>
  <r>
    <x v="282"/>
    <x v="96"/>
    <m/>
    <n v="-148388.49"/>
  </r>
  <r>
    <x v="283"/>
    <x v="23"/>
    <m/>
    <n v="-40935.870000000003"/>
  </r>
  <r>
    <x v="284"/>
    <x v="51"/>
    <m/>
    <n v="3456.87"/>
  </r>
  <r>
    <x v="750"/>
    <x v="65"/>
    <m/>
    <n v="25103"/>
  </r>
  <r>
    <x v="751"/>
    <x v="92"/>
    <m/>
    <n v="12376"/>
  </r>
  <r>
    <x v="285"/>
    <x v="8"/>
    <m/>
    <n v="73672.61"/>
  </r>
  <r>
    <x v="286"/>
    <x v="9"/>
    <m/>
    <n v="-4306.3999999999996"/>
  </r>
  <r>
    <x v="287"/>
    <x v="96"/>
    <m/>
    <n v="-69366.210000000006"/>
  </r>
  <r>
    <x v="288"/>
    <x v="23"/>
    <m/>
    <n v="-48852.02"/>
  </r>
  <r>
    <x v="289"/>
    <x v="76"/>
    <m/>
    <n v="48852.02"/>
  </r>
  <r>
    <x v="290"/>
    <x v="103"/>
    <m/>
    <n v="59011.55"/>
  </r>
  <r>
    <x v="291"/>
    <x v="8"/>
    <m/>
    <n v="-55578.98"/>
  </r>
  <r>
    <x v="292"/>
    <x v="9"/>
    <m/>
    <n v="-3498.24"/>
  </r>
  <r>
    <x v="293"/>
    <x v="16"/>
    <m/>
    <n v="65.67"/>
  </r>
  <r>
    <x v="294"/>
    <x v="23"/>
    <m/>
    <n v="-666157.35"/>
  </r>
  <r>
    <x v="295"/>
    <x v="40"/>
    <m/>
    <n v="438448.97"/>
  </r>
  <r>
    <x v="296"/>
    <x v="41"/>
    <m/>
    <n v="36287.629999999997"/>
  </r>
  <r>
    <x v="297"/>
    <x v="42"/>
    <m/>
    <n v="63535.27"/>
  </r>
  <r>
    <x v="298"/>
    <x v="44"/>
    <m/>
    <n v="1794.53"/>
  </r>
  <r>
    <x v="299"/>
    <x v="45"/>
    <m/>
    <n v="1045"/>
  </r>
  <r>
    <x v="300"/>
    <x v="47"/>
    <m/>
    <n v="1664.22"/>
  </r>
  <r>
    <x v="301"/>
    <x v="49"/>
    <m/>
    <n v="6564.65"/>
  </r>
  <r>
    <x v="302"/>
    <x v="106"/>
    <m/>
    <n v="1500"/>
  </r>
  <r>
    <x v="303"/>
    <x v="116"/>
    <m/>
    <n v="791.38"/>
  </r>
  <r>
    <x v="304"/>
    <x v="104"/>
    <m/>
    <n v="19574.060000000001"/>
  </r>
  <r>
    <x v="305"/>
    <x v="56"/>
    <m/>
    <n v="288.35000000000002"/>
  </r>
  <r>
    <x v="306"/>
    <x v="58"/>
    <m/>
    <n v="14974.99"/>
  </r>
  <r>
    <x v="307"/>
    <x v="59"/>
    <m/>
    <n v="5629.47"/>
  </r>
  <r>
    <x v="308"/>
    <x v="61"/>
    <m/>
    <n v="5530.81"/>
  </r>
  <r>
    <x v="309"/>
    <x v="97"/>
    <m/>
    <n v="219"/>
  </r>
  <r>
    <x v="310"/>
    <x v="65"/>
    <m/>
    <n v="1739.75"/>
  </r>
  <r>
    <x v="311"/>
    <x v="66"/>
    <m/>
    <n v="1199"/>
  </r>
  <r>
    <x v="312"/>
    <x v="67"/>
    <m/>
    <n v="13034.81"/>
  </r>
  <r>
    <x v="313"/>
    <x v="117"/>
    <m/>
    <n v="187.11"/>
  </r>
  <r>
    <x v="314"/>
    <x v="68"/>
    <m/>
    <n v="148.5"/>
  </r>
  <r>
    <x v="315"/>
    <x v="70"/>
    <m/>
    <n v="127.82"/>
  </r>
  <r>
    <x v="316"/>
    <x v="71"/>
    <m/>
    <n v="7892.91"/>
  </r>
  <r>
    <x v="317"/>
    <x v="72"/>
    <m/>
    <n v="6898.12"/>
  </r>
  <r>
    <x v="318"/>
    <x v="73"/>
    <m/>
    <n v="1220.77"/>
  </r>
  <r>
    <x v="319"/>
    <x v="100"/>
    <m/>
    <n v="735"/>
  </r>
  <r>
    <x v="320"/>
    <x v="81"/>
    <m/>
    <n v="2913.63"/>
  </r>
  <r>
    <x v="321"/>
    <x v="39"/>
    <m/>
    <n v="371.96"/>
  </r>
  <r>
    <x v="322"/>
    <x v="102"/>
    <m/>
    <n v="31839.64"/>
  </r>
  <r>
    <x v="323"/>
    <x v="103"/>
    <m/>
    <n v="91059.92"/>
  </r>
  <r>
    <x v="324"/>
    <x v="8"/>
    <m/>
    <n v="-85291.12"/>
  </r>
  <r>
    <x v="325"/>
    <x v="9"/>
    <m/>
    <n v="-6239.68"/>
  </r>
  <r>
    <x v="326"/>
    <x v="16"/>
    <m/>
    <n v="470.88"/>
  </r>
  <r>
    <x v="327"/>
    <x v="23"/>
    <m/>
    <n v="-910650.08"/>
  </r>
  <r>
    <x v="328"/>
    <x v="40"/>
    <m/>
    <n v="517097.37"/>
  </r>
  <r>
    <x v="329"/>
    <x v="41"/>
    <m/>
    <n v="45294.04"/>
  </r>
  <r>
    <x v="330"/>
    <x v="42"/>
    <m/>
    <n v="83114.5"/>
  </r>
  <r>
    <x v="331"/>
    <x v="44"/>
    <m/>
    <n v="1980"/>
  </r>
  <r>
    <x v="332"/>
    <x v="45"/>
    <m/>
    <n v="926.86"/>
  </r>
  <r>
    <x v="333"/>
    <x v="47"/>
    <m/>
    <n v="1130"/>
  </r>
  <r>
    <x v="334"/>
    <x v="49"/>
    <m/>
    <n v="14061.83"/>
  </r>
  <r>
    <x v="335"/>
    <x v="104"/>
    <m/>
    <n v="45638.66"/>
  </r>
  <r>
    <x v="336"/>
    <x v="50"/>
    <m/>
    <n v="8500.11"/>
  </r>
  <r>
    <x v="337"/>
    <x v="51"/>
    <m/>
    <n v="7.59"/>
  </r>
  <r>
    <x v="338"/>
    <x v="54"/>
    <m/>
    <n v="49.95"/>
  </r>
  <r>
    <x v="339"/>
    <x v="55"/>
    <m/>
    <n v="4437.8100000000004"/>
  </r>
  <r>
    <x v="340"/>
    <x v="56"/>
    <m/>
    <n v="510.13"/>
  </r>
  <r>
    <x v="341"/>
    <x v="58"/>
    <m/>
    <n v="17571.59"/>
  </r>
  <r>
    <x v="342"/>
    <x v="59"/>
    <m/>
    <n v="5949.42"/>
  </r>
  <r>
    <x v="343"/>
    <x v="61"/>
    <m/>
    <n v="8257.76"/>
  </r>
  <r>
    <x v="344"/>
    <x v="97"/>
    <m/>
    <n v="4570"/>
  </r>
  <r>
    <x v="345"/>
    <x v="65"/>
    <m/>
    <n v="13746.32"/>
  </r>
  <r>
    <x v="346"/>
    <x v="67"/>
    <m/>
    <n v="27972.86"/>
  </r>
  <r>
    <x v="347"/>
    <x v="68"/>
    <m/>
    <n v="1480.17"/>
  </r>
  <r>
    <x v="348"/>
    <x v="70"/>
    <m/>
    <n v="1098.07"/>
  </r>
  <r>
    <x v="349"/>
    <x v="71"/>
    <m/>
    <n v="8728.08"/>
  </r>
  <r>
    <x v="350"/>
    <x v="72"/>
    <m/>
    <n v="20662.59"/>
  </r>
  <r>
    <x v="351"/>
    <x v="73"/>
    <m/>
    <n v="2104.16"/>
  </r>
  <r>
    <x v="352"/>
    <x v="77"/>
    <m/>
    <n v="46.99"/>
  </r>
  <r>
    <x v="353"/>
    <x v="100"/>
    <m/>
    <n v="735"/>
  </r>
  <r>
    <x v="354"/>
    <x v="118"/>
    <m/>
    <n v="3714.9"/>
  </r>
  <r>
    <x v="355"/>
    <x v="81"/>
    <m/>
    <n v="2577.77"/>
  </r>
  <r>
    <x v="752"/>
    <x v="93"/>
    <m/>
    <n v="5409.23"/>
  </r>
  <r>
    <x v="753"/>
    <x v="150"/>
    <m/>
    <n v="10648.32"/>
  </r>
  <r>
    <x v="356"/>
    <x v="102"/>
    <m/>
    <n v="52628"/>
  </r>
  <r>
    <x v="357"/>
    <x v="103"/>
    <m/>
    <n v="71205.94"/>
  </r>
  <r>
    <x v="358"/>
    <x v="8"/>
    <m/>
    <n v="-70584.800000000003"/>
  </r>
  <r>
    <x v="359"/>
    <x v="9"/>
    <m/>
    <n v="-621.14"/>
  </r>
  <r>
    <x v="360"/>
    <x v="23"/>
    <m/>
    <n v="-303663.12"/>
  </r>
  <r>
    <x v="361"/>
    <x v="40"/>
    <m/>
    <n v="172457.03"/>
  </r>
  <r>
    <x v="362"/>
    <x v="41"/>
    <m/>
    <n v="14255.85"/>
  </r>
  <r>
    <x v="363"/>
    <x v="42"/>
    <m/>
    <n v="31102.240000000002"/>
  </r>
  <r>
    <x v="364"/>
    <x v="45"/>
    <m/>
    <n v="501.46"/>
  </r>
  <r>
    <x v="365"/>
    <x v="49"/>
    <m/>
    <n v="-2551.6999999999998"/>
  </r>
  <r>
    <x v="366"/>
    <x v="50"/>
    <m/>
    <n v="828"/>
  </r>
  <r>
    <x v="367"/>
    <x v="51"/>
    <m/>
    <n v="391.47"/>
  </r>
  <r>
    <x v="368"/>
    <x v="54"/>
    <m/>
    <n v="1.1599999999999999"/>
  </r>
  <r>
    <x v="369"/>
    <x v="56"/>
    <m/>
    <n v="230.1"/>
  </r>
  <r>
    <x v="370"/>
    <x v="58"/>
    <m/>
    <n v="4390.68"/>
  </r>
  <r>
    <x v="371"/>
    <x v="61"/>
    <m/>
    <n v="6128.43"/>
  </r>
  <r>
    <x v="754"/>
    <x v="65"/>
    <m/>
    <n v="13047.85"/>
  </r>
  <r>
    <x v="372"/>
    <x v="67"/>
    <m/>
    <n v="1044.01"/>
  </r>
  <r>
    <x v="373"/>
    <x v="70"/>
    <m/>
    <n v="-96.09"/>
  </r>
  <r>
    <x v="374"/>
    <x v="119"/>
    <m/>
    <n v="1308.49"/>
  </r>
  <r>
    <x v="375"/>
    <x v="71"/>
    <m/>
    <n v="14287.19"/>
  </r>
  <r>
    <x v="376"/>
    <x v="73"/>
    <m/>
    <n v="252.96"/>
  </r>
  <r>
    <x v="377"/>
    <x v="100"/>
    <m/>
    <n v="4010"/>
  </r>
  <r>
    <x v="378"/>
    <x v="120"/>
    <m/>
    <n v="628.15"/>
  </r>
  <r>
    <x v="379"/>
    <x v="121"/>
    <m/>
    <n v="31.34"/>
  </r>
  <r>
    <x v="380"/>
    <x v="109"/>
    <m/>
    <n v="-673.01"/>
  </r>
  <r>
    <x v="381"/>
    <x v="102"/>
    <m/>
    <n v="42087.51"/>
  </r>
  <r>
    <x v="382"/>
    <x v="8"/>
    <m/>
    <n v="30384.55"/>
  </r>
  <r>
    <x v="383"/>
    <x v="9"/>
    <m/>
    <n v="-1768.03"/>
  </r>
  <r>
    <x v="384"/>
    <x v="96"/>
    <m/>
    <n v="-28616.52"/>
  </r>
  <r>
    <x v="385"/>
    <x v="23"/>
    <m/>
    <n v="-146339.45000000001"/>
  </r>
  <r>
    <x v="386"/>
    <x v="40"/>
    <m/>
    <n v="18072"/>
  </r>
  <r>
    <x v="387"/>
    <x v="41"/>
    <m/>
    <n v="1841.36"/>
  </r>
  <r>
    <x v="388"/>
    <x v="42"/>
    <m/>
    <n v="731"/>
  </r>
  <r>
    <x v="389"/>
    <x v="49"/>
    <m/>
    <n v="41223.58"/>
  </r>
  <r>
    <x v="390"/>
    <x v="50"/>
    <m/>
    <n v="276"/>
  </r>
  <r>
    <x v="391"/>
    <x v="53"/>
    <m/>
    <n v="528.94000000000005"/>
  </r>
  <r>
    <x v="392"/>
    <x v="58"/>
    <m/>
    <n v="803.3"/>
  </r>
  <r>
    <x v="393"/>
    <x v="61"/>
    <m/>
    <n v="3142.24"/>
  </r>
  <r>
    <x v="755"/>
    <x v="65"/>
    <m/>
    <n v="5800"/>
  </r>
  <r>
    <x v="394"/>
    <x v="67"/>
    <m/>
    <n v="11187.6"/>
  </r>
  <r>
    <x v="395"/>
    <x v="117"/>
    <m/>
    <n v="1877"/>
  </r>
  <r>
    <x v="396"/>
    <x v="71"/>
    <m/>
    <n v="8028.69"/>
  </r>
  <r>
    <x v="397"/>
    <x v="73"/>
    <m/>
    <n v="599.26"/>
  </r>
  <r>
    <x v="398"/>
    <x v="76"/>
    <m/>
    <n v="602.04"/>
  </r>
  <r>
    <x v="399"/>
    <x v="82"/>
    <m/>
    <n v="1200.0899999999999"/>
  </r>
  <r>
    <x v="400"/>
    <x v="87"/>
    <m/>
    <n v="14037.92"/>
  </r>
  <r>
    <x v="756"/>
    <x v="92"/>
    <m/>
    <n v="4893.3500000000004"/>
  </r>
  <r>
    <x v="401"/>
    <x v="109"/>
    <m/>
    <n v="31495.08"/>
  </r>
  <r>
    <x v="402"/>
    <x v="8"/>
    <m/>
    <n v="240453.13"/>
  </r>
  <r>
    <x v="403"/>
    <x v="96"/>
    <m/>
    <n v="-240453.13"/>
  </r>
  <r>
    <x v="404"/>
    <x v="23"/>
    <m/>
    <n v="-82019.39"/>
  </r>
  <r>
    <x v="405"/>
    <x v="40"/>
    <m/>
    <n v="32362.1"/>
  </r>
  <r>
    <x v="406"/>
    <x v="41"/>
    <m/>
    <n v="2640.27"/>
  </r>
  <r>
    <x v="407"/>
    <x v="42"/>
    <m/>
    <n v="21654.51"/>
  </r>
  <r>
    <x v="408"/>
    <x v="45"/>
    <m/>
    <n v="356.78"/>
  </r>
  <r>
    <x v="409"/>
    <x v="49"/>
    <m/>
    <n v="3075.88"/>
  </r>
  <r>
    <x v="410"/>
    <x v="56"/>
    <m/>
    <n v="-225"/>
  </r>
  <r>
    <x v="411"/>
    <x v="58"/>
    <m/>
    <n v="691.37"/>
  </r>
  <r>
    <x v="412"/>
    <x v="61"/>
    <m/>
    <n v="3188.11"/>
  </r>
  <r>
    <x v="413"/>
    <x v="97"/>
    <m/>
    <n v="150"/>
  </r>
  <r>
    <x v="414"/>
    <x v="67"/>
    <m/>
    <n v="253.24"/>
  </r>
  <r>
    <x v="415"/>
    <x v="68"/>
    <m/>
    <n v="41.25"/>
  </r>
  <r>
    <x v="416"/>
    <x v="71"/>
    <m/>
    <n v="2860.07"/>
  </r>
  <r>
    <x v="417"/>
    <x v="73"/>
    <m/>
    <n v="860.79"/>
  </r>
  <r>
    <x v="418"/>
    <x v="83"/>
    <m/>
    <n v="2742.19"/>
  </r>
  <r>
    <x v="419"/>
    <x v="102"/>
    <m/>
    <n v="11367.83"/>
  </r>
  <r>
    <x v="420"/>
    <x v="103"/>
    <m/>
    <n v="57471.24"/>
  </r>
  <r>
    <x v="421"/>
    <x v="8"/>
    <m/>
    <n v="32893.74"/>
  </r>
  <r>
    <x v="422"/>
    <x v="9"/>
    <m/>
    <n v="-27131.7"/>
  </r>
  <r>
    <x v="423"/>
    <x v="16"/>
    <m/>
    <n v="49.97"/>
  </r>
  <r>
    <x v="424"/>
    <x v="20"/>
    <m/>
    <n v="-65665.95"/>
  </r>
  <r>
    <x v="425"/>
    <x v="23"/>
    <m/>
    <n v="-1092861.3799999999"/>
  </r>
  <r>
    <x v="426"/>
    <x v="35"/>
    <m/>
    <n v="-80275.850000000006"/>
  </r>
  <r>
    <x v="427"/>
    <x v="40"/>
    <m/>
    <n v="82546.44"/>
  </r>
  <r>
    <x v="428"/>
    <x v="41"/>
    <m/>
    <n v="6300.15"/>
  </r>
  <r>
    <x v="429"/>
    <x v="42"/>
    <m/>
    <n v="17819.7"/>
  </r>
  <r>
    <x v="430"/>
    <x v="44"/>
    <m/>
    <n v="61.13"/>
  </r>
  <r>
    <x v="431"/>
    <x v="47"/>
    <m/>
    <n v="95"/>
  </r>
  <r>
    <x v="432"/>
    <x v="49"/>
    <m/>
    <n v="12102.03"/>
  </r>
  <r>
    <x v="433"/>
    <x v="106"/>
    <m/>
    <n v="250.24"/>
  </r>
  <r>
    <x v="434"/>
    <x v="116"/>
    <m/>
    <n v="6385.68"/>
  </r>
  <r>
    <x v="435"/>
    <x v="50"/>
    <m/>
    <n v="753.33"/>
  </r>
  <r>
    <x v="436"/>
    <x v="56"/>
    <m/>
    <n v="8239.2999999999993"/>
  </r>
  <r>
    <x v="437"/>
    <x v="58"/>
    <m/>
    <n v="28962.17"/>
  </r>
  <r>
    <x v="438"/>
    <x v="60"/>
    <m/>
    <n v="34.24"/>
  </r>
  <r>
    <x v="439"/>
    <x v="61"/>
    <m/>
    <n v="16495.16"/>
  </r>
  <r>
    <x v="757"/>
    <x v="65"/>
    <m/>
    <n v="8014.5"/>
  </r>
  <r>
    <x v="440"/>
    <x v="67"/>
    <m/>
    <n v="130593.19"/>
  </r>
  <r>
    <x v="441"/>
    <x v="71"/>
    <m/>
    <n v="3866.8"/>
  </r>
  <r>
    <x v="443"/>
    <x v="73"/>
    <m/>
    <n v="84.5"/>
  </r>
  <r>
    <x v="444"/>
    <x v="82"/>
    <m/>
    <n v="3717.02"/>
  </r>
  <r>
    <x v="758"/>
    <x v="92"/>
    <m/>
    <n v="50265.32"/>
  </r>
  <r>
    <x v="759"/>
    <x v="93"/>
    <m/>
    <n v="27980"/>
  </r>
  <r>
    <x v="445"/>
    <x v="122"/>
    <m/>
    <n v="762750.57"/>
  </r>
  <r>
    <x v="446"/>
    <x v="102"/>
    <m/>
    <n v="8203.4599999999991"/>
  </r>
  <r>
    <x v="447"/>
    <x v="103"/>
    <m/>
    <n v="80716.91"/>
  </r>
  <r>
    <x v="448"/>
    <x v="8"/>
    <m/>
    <n v="-76347.490000000005"/>
  </r>
  <r>
    <x v="449"/>
    <x v="9"/>
    <m/>
    <n v="-4369.42"/>
  </r>
  <r>
    <x v="450"/>
    <x v="23"/>
    <m/>
    <n v="-705851.16"/>
  </r>
  <r>
    <x v="451"/>
    <x v="40"/>
    <m/>
    <n v="250976.88"/>
  </r>
  <r>
    <x v="452"/>
    <x v="41"/>
    <m/>
    <n v="22380.95"/>
  </r>
  <r>
    <x v="453"/>
    <x v="42"/>
    <m/>
    <n v="39871.49"/>
  </r>
  <r>
    <x v="454"/>
    <x v="44"/>
    <m/>
    <n v="4150"/>
  </r>
  <r>
    <x v="455"/>
    <x v="45"/>
    <m/>
    <n v="1798.5"/>
  </r>
  <r>
    <x v="456"/>
    <x v="47"/>
    <m/>
    <n v="62.43"/>
  </r>
  <r>
    <x v="457"/>
    <x v="49"/>
    <m/>
    <n v="5769.04"/>
  </r>
  <r>
    <x v="458"/>
    <x v="50"/>
    <m/>
    <n v="2484"/>
  </r>
  <r>
    <x v="459"/>
    <x v="51"/>
    <m/>
    <n v="1511.69"/>
  </r>
  <r>
    <x v="460"/>
    <x v="56"/>
    <m/>
    <n v="5103.01"/>
  </r>
  <r>
    <x v="461"/>
    <x v="57"/>
    <m/>
    <n v="-24425.45"/>
  </r>
  <r>
    <x v="462"/>
    <x v="58"/>
    <m/>
    <n v="7668.37"/>
  </r>
  <r>
    <x v="463"/>
    <x v="59"/>
    <m/>
    <n v="5250.51"/>
  </r>
  <r>
    <x v="464"/>
    <x v="60"/>
    <m/>
    <n v="567"/>
  </r>
  <r>
    <x v="465"/>
    <x v="61"/>
    <m/>
    <n v="5276.94"/>
  </r>
  <r>
    <x v="466"/>
    <x v="97"/>
    <m/>
    <n v="2513.96"/>
  </r>
  <r>
    <x v="760"/>
    <x v="147"/>
    <m/>
    <n v="58401.69"/>
  </r>
  <r>
    <x v="467"/>
    <x v="108"/>
    <m/>
    <n v="575"/>
  </r>
  <r>
    <x v="468"/>
    <x v="67"/>
    <m/>
    <n v="748.46"/>
  </r>
  <r>
    <x v="469"/>
    <x v="68"/>
    <m/>
    <n v="239.25"/>
  </r>
  <r>
    <x v="470"/>
    <x v="71"/>
    <m/>
    <n v="11786.64"/>
  </r>
  <r>
    <x v="471"/>
    <x v="72"/>
    <m/>
    <n v="12083"/>
  </r>
  <r>
    <x v="472"/>
    <x v="99"/>
    <m/>
    <n v="4412.82"/>
  </r>
  <r>
    <x v="473"/>
    <x v="73"/>
    <m/>
    <n v="4960.3"/>
  </r>
  <r>
    <x v="474"/>
    <x v="123"/>
    <m/>
    <n v="181795.67"/>
  </r>
  <r>
    <x v="475"/>
    <x v="109"/>
    <m/>
    <n v="2356.48"/>
  </r>
  <r>
    <x v="476"/>
    <x v="102"/>
    <m/>
    <n v="97532.53"/>
  </r>
  <r>
    <x v="477"/>
    <x v="103"/>
    <m/>
    <n v="34170.300000000003"/>
  </r>
  <r>
    <x v="478"/>
    <x v="8"/>
    <m/>
    <n v="-32884.39"/>
  </r>
  <r>
    <x v="479"/>
    <x v="9"/>
    <m/>
    <n v="-1285.9100000000001"/>
  </r>
  <r>
    <x v="480"/>
    <x v="23"/>
    <m/>
    <n v="-369671.72"/>
  </r>
  <r>
    <x v="481"/>
    <x v="40"/>
    <m/>
    <n v="209138.85"/>
  </r>
  <r>
    <x v="482"/>
    <x v="41"/>
    <m/>
    <n v="17798.52"/>
  </r>
  <r>
    <x v="483"/>
    <x v="42"/>
    <m/>
    <n v="21128.36"/>
  </r>
  <r>
    <x v="484"/>
    <x v="44"/>
    <m/>
    <n v="9340"/>
  </r>
  <r>
    <x v="485"/>
    <x v="45"/>
    <m/>
    <n v="11853.21"/>
  </r>
  <r>
    <x v="486"/>
    <x v="49"/>
    <m/>
    <n v="5073.3"/>
  </r>
  <r>
    <x v="487"/>
    <x v="106"/>
    <m/>
    <n v="380.85"/>
  </r>
  <r>
    <x v="488"/>
    <x v="116"/>
    <m/>
    <n v="401.5"/>
  </r>
  <r>
    <x v="489"/>
    <x v="104"/>
    <m/>
    <n v="7821.53"/>
  </r>
  <r>
    <x v="490"/>
    <x v="50"/>
    <m/>
    <n v="1656"/>
  </r>
  <r>
    <x v="491"/>
    <x v="53"/>
    <m/>
    <n v="100"/>
  </r>
  <r>
    <x v="492"/>
    <x v="56"/>
    <m/>
    <n v="4890.57"/>
  </r>
  <r>
    <x v="493"/>
    <x v="58"/>
    <m/>
    <n v="10031.93"/>
  </r>
  <r>
    <x v="494"/>
    <x v="61"/>
    <m/>
    <n v="3949.55"/>
  </r>
  <r>
    <x v="495"/>
    <x v="98"/>
    <m/>
    <n v="152"/>
  </r>
  <r>
    <x v="496"/>
    <x v="67"/>
    <m/>
    <n v="1049.8800000000001"/>
  </r>
  <r>
    <x v="497"/>
    <x v="68"/>
    <m/>
    <n v="246.5"/>
  </r>
  <r>
    <x v="498"/>
    <x v="71"/>
    <m/>
    <n v="8617.33"/>
  </r>
  <r>
    <x v="499"/>
    <x v="72"/>
    <m/>
    <n v="695"/>
  </r>
  <r>
    <x v="500"/>
    <x v="76"/>
    <m/>
    <n v="2184.16"/>
  </r>
  <r>
    <x v="501"/>
    <x v="77"/>
    <m/>
    <n v="314.91000000000003"/>
  </r>
  <r>
    <x v="502"/>
    <x v="112"/>
    <m/>
    <n v="278.39999999999998"/>
  </r>
  <r>
    <x v="503"/>
    <x v="82"/>
    <m/>
    <n v="1174.47"/>
  </r>
  <r>
    <x v="504"/>
    <x v="109"/>
    <m/>
    <n v="158.63999999999999"/>
  </r>
  <r>
    <x v="505"/>
    <x v="102"/>
    <m/>
    <n v="51236.26"/>
  </r>
  <r>
    <x v="506"/>
    <x v="8"/>
    <m/>
    <n v="-8.5"/>
  </r>
  <r>
    <x v="507"/>
    <x v="16"/>
    <m/>
    <n v="8.5"/>
  </r>
  <r>
    <x v="508"/>
    <x v="23"/>
    <m/>
    <n v="-159616.74"/>
  </r>
  <r>
    <x v="509"/>
    <x v="40"/>
    <m/>
    <n v="63012"/>
  </r>
  <r>
    <x v="510"/>
    <x v="41"/>
    <m/>
    <n v="5338.42"/>
  </r>
  <r>
    <x v="511"/>
    <x v="42"/>
    <m/>
    <n v="11439.91"/>
  </r>
  <r>
    <x v="512"/>
    <x v="43"/>
    <m/>
    <n v="215"/>
  </r>
  <r>
    <x v="513"/>
    <x v="44"/>
    <m/>
    <n v="1500"/>
  </r>
  <r>
    <x v="514"/>
    <x v="45"/>
    <m/>
    <n v="400"/>
  </r>
  <r>
    <x v="515"/>
    <x v="49"/>
    <m/>
    <n v="5750.62"/>
  </r>
  <r>
    <x v="516"/>
    <x v="51"/>
    <m/>
    <n v="6473.32"/>
  </r>
  <r>
    <x v="517"/>
    <x v="56"/>
    <m/>
    <n v="49040.06"/>
  </r>
  <r>
    <x v="518"/>
    <x v="61"/>
    <m/>
    <n v="2330.5700000000002"/>
  </r>
  <r>
    <x v="519"/>
    <x v="97"/>
    <m/>
    <n v="231.88"/>
  </r>
  <r>
    <x v="520"/>
    <x v="65"/>
    <m/>
    <n v="8887.7999999999993"/>
  </r>
  <r>
    <x v="521"/>
    <x v="72"/>
    <m/>
    <n v="1848.35"/>
  </r>
  <r>
    <x v="522"/>
    <x v="102"/>
    <m/>
    <n v="3148.81"/>
  </r>
  <r>
    <x v="523"/>
    <x v="103"/>
    <m/>
    <n v="53883.24"/>
  </r>
  <r>
    <x v="524"/>
    <x v="8"/>
    <m/>
    <n v="-52992.31"/>
  </r>
  <r>
    <x v="525"/>
    <x v="9"/>
    <m/>
    <n v="-890.93"/>
  </r>
  <r>
    <x v="526"/>
    <x v="23"/>
    <m/>
    <n v="-377712.5"/>
  </r>
  <r>
    <x v="527"/>
    <x v="40"/>
    <m/>
    <n v="141693.95000000001"/>
  </r>
  <r>
    <x v="528"/>
    <x v="41"/>
    <m/>
    <n v="11767.71"/>
  </r>
  <r>
    <x v="529"/>
    <x v="42"/>
    <m/>
    <n v="15156.13"/>
  </r>
  <r>
    <x v="530"/>
    <x v="43"/>
    <m/>
    <n v="600"/>
  </r>
  <r>
    <x v="531"/>
    <x v="47"/>
    <m/>
    <n v="210"/>
  </r>
  <r>
    <x v="532"/>
    <x v="49"/>
    <m/>
    <n v="4600.2700000000004"/>
  </r>
  <r>
    <x v="533"/>
    <x v="50"/>
    <m/>
    <n v="552"/>
  </r>
  <r>
    <x v="534"/>
    <x v="53"/>
    <m/>
    <n v="37.979999999999997"/>
  </r>
  <r>
    <x v="535"/>
    <x v="55"/>
    <m/>
    <n v="6014.64"/>
  </r>
  <r>
    <x v="536"/>
    <x v="58"/>
    <m/>
    <n v="115.75"/>
  </r>
  <r>
    <x v="537"/>
    <x v="61"/>
    <m/>
    <n v="17616.080000000002"/>
  </r>
  <r>
    <x v="538"/>
    <x v="67"/>
    <m/>
    <n v="4729.3"/>
  </r>
  <r>
    <x v="539"/>
    <x v="117"/>
    <m/>
    <n v="262.5"/>
  </r>
  <r>
    <x v="540"/>
    <x v="71"/>
    <m/>
    <n v="22269.16"/>
  </r>
  <r>
    <x v="541"/>
    <x v="72"/>
    <m/>
    <n v="4540.55"/>
  </r>
  <r>
    <x v="542"/>
    <x v="73"/>
    <m/>
    <n v="480.59"/>
  </r>
  <r>
    <x v="543"/>
    <x v="76"/>
    <m/>
    <n v="21.67"/>
  </r>
  <r>
    <x v="544"/>
    <x v="82"/>
    <m/>
    <n v="94693.51"/>
  </r>
  <r>
    <x v="545"/>
    <x v="102"/>
    <m/>
    <n v="52350.71"/>
  </r>
  <r>
    <x v="546"/>
    <x v="103"/>
    <m/>
    <n v="7667.88"/>
  </r>
  <r>
    <x v="547"/>
    <x v="8"/>
    <m/>
    <n v="-6181.97"/>
  </r>
  <r>
    <x v="548"/>
    <x v="9"/>
    <m/>
    <n v="-1485.91"/>
  </r>
  <r>
    <x v="549"/>
    <x v="23"/>
    <m/>
    <n v="-233039.55"/>
  </r>
  <r>
    <x v="550"/>
    <x v="40"/>
    <m/>
    <n v="120103.21"/>
  </r>
  <r>
    <x v="551"/>
    <x v="41"/>
    <m/>
    <n v="10136.01"/>
  </r>
  <r>
    <x v="552"/>
    <x v="42"/>
    <m/>
    <n v="11350.42"/>
  </r>
  <r>
    <x v="553"/>
    <x v="44"/>
    <m/>
    <n v="9800"/>
  </r>
  <r>
    <x v="554"/>
    <x v="49"/>
    <m/>
    <n v="4097.54"/>
  </r>
  <r>
    <x v="555"/>
    <x v="50"/>
    <m/>
    <n v="1581.33"/>
  </r>
  <r>
    <x v="556"/>
    <x v="54"/>
    <m/>
    <n v="154.80000000000001"/>
  </r>
  <r>
    <x v="557"/>
    <x v="58"/>
    <m/>
    <n v="810.99"/>
  </r>
  <r>
    <x v="558"/>
    <x v="61"/>
    <m/>
    <n v="2161.38"/>
  </r>
  <r>
    <x v="559"/>
    <x v="117"/>
    <m/>
    <n v="262.5"/>
  </r>
  <r>
    <x v="560"/>
    <x v="71"/>
    <m/>
    <n v="11363.65"/>
  </r>
  <r>
    <x v="561"/>
    <x v="72"/>
    <m/>
    <n v="6872.99"/>
  </r>
  <r>
    <x v="562"/>
    <x v="73"/>
    <m/>
    <n v="458.15"/>
  </r>
  <r>
    <x v="563"/>
    <x v="76"/>
    <m/>
    <n v="678.09"/>
  </r>
  <r>
    <x v="564"/>
    <x v="78"/>
    <m/>
    <n v="1400"/>
  </r>
  <r>
    <x v="565"/>
    <x v="82"/>
    <m/>
    <n v="19509.36"/>
  </r>
  <r>
    <x v="566"/>
    <x v="102"/>
    <m/>
    <n v="32299.13"/>
  </r>
  <r>
    <x v="567"/>
    <x v="103"/>
    <m/>
    <n v="6896.96"/>
  </r>
  <r>
    <x v="568"/>
    <x v="8"/>
    <m/>
    <n v="-6896.96"/>
  </r>
  <r>
    <x v="569"/>
    <x v="23"/>
    <m/>
    <n v="-138384.29"/>
  </r>
  <r>
    <x v="570"/>
    <x v="40"/>
    <m/>
    <n v="68520"/>
  </r>
  <r>
    <x v="571"/>
    <x v="41"/>
    <m/>
    <n v="5336.95"/>
  </r>
  <r>
    <x v="572"/>
    <x v="42"/>
    <m/>
    <n v="21382"/>
  </r>
  <r>
    <x v="573"/>
    <x v="49"/>
    <m/>
    <n v="4278.6899999999996"/>
  </r>
  <r>
    <x v="574"/>
    <x v="106"/>
    <m/>
    <n v="931.84"/>
  </r>
  <r>
    <x v="575"/>
    <x v="50"/>
    <m/>
    <n v="276"/>
  </r>
  <r>
    <x v="576"/>
    <x v="51"/>
    <m/>
    <n v="-3222.39"/>
  </r>
  <r>
    <x v="577"/>
    <x v="56"/>
    <m/>
    <n v="2065.87"/>
  </r>
  <r>
    <x v="578"/>
    <x v="58"/>
    <m/>
    <n v="438.37"/>
  </r>
  <r>
    <x v="579"/>
    <x v="61"/>
    <m/>
    <n v="3367.9"/>
  </r>
  <r>
    <x v="580"/>
    <x v="117"/>
    <m/>
    <n v="262.5"/>
  </r>
  <r>
    <x v="581"/>
    <x v="71"/>
    <m/>
    <n v="2517.4299999999998"/>
  </r>
  <r>
    <x v="582"/>
    <x v="73"/>
    <m/>
    <n v="684.33"/>
  </r>
  <r>
    <x v="583"/>
    <x v="87"/>
    <m/>
    <n v="513"/>
  </r>
  <r>
    <x v="584"/>
    <x v="91"/>
    <m/>
    <n v="2617.9299999999998"/>
  </r>
  <r>
    <x v="585"/>
    <x v="115"/>
    <m/>
    <n v="5047.33"/>
  </r>
  <r>
    <x v="586"/>
    <x v="95"/>
    <m/>
    <n v="6234.52"/>
  </r>
  <r>
    <x v="587"/>
    <x v="109"/>
    <m/>
    <n v="3232.22"/>
  </r>
  <r>
    <x v="588"/>
    <x v="102"/>
    <m/>
    <n v="13899.8"/>
  </r>
  <r>
    <x v="589"/>
    <x v="8"/>
    <m/>
    <n v="33437.910000000003"/>
  </r>
  <r>
    <x v="590"/>
    <x v="96"/>
    <m/>
    <n v="-33417.910000000003"/>
  </r>
  <r>
    <x v="591"/>
    <x v="20"/>
    <m/>
    <n v="-20"/>
  </r>
  <r>
    <x v="592"/>
    <x v="8"/>
    <m/>
    <n v="51883.32"/>
  </r>
  <r>
    <x v="593"/>
    <x v="96"/>
    <m/>
    <n v="-51883.32"/>
  </r>
  <r>
    <x v="594"/>
    <x v="23"/>
    <m/>
    <n v="-66617.320000000007"/>
  </r>
  <r>
    <x v="595"/>
    <x v="44"/>
    <m/>
    <n v="7500"/>
  </r>
  <r>
    <x v="596"/>
    <x v="92"/>
    <m/>
    <n v="59117.32"/>
  </r>
  <r>
    <x v="597"/>
    <x v="8"/>
    <m/>
    <n v="1749.79"/>
  </r>
  <r>
    <x v="598"/>
    <x v="96"/>
    <m/>
    <n v="-1749.79"/>
  </r>
  <r>
    <x v="599"/>
    <x v="23"/>
    <m/>
    <n v="-17321.36"/>
  </r>
  <r>
    <x v="600"/>
    <x v="45"/>
    <m/>
    <n v="17321.36"/>
  </r>
  <r>
    <x v="603"/>
    <x v="103"/>
    <m/>
    <n v="16011.84"/>
  </r>
  <r>
    <x v="604"/>
    <x v="8"/>
    <m/>
    <n v="-15491.6"/>
  </r>
  <r>
    <x v="605"/>
    <x v="9"/>
    <m/>
    <n v="-520.24"/>
  </r>
  <r>
    <x v="606"/>
    <x v="23"/>
    <m/>
    <n v="-121441.84"/>
  </r>
  <r>
    <x v="607"/>
    <x v="40"/>
    <m/>
    <n v="81730.789999999994"/>
  </r>
  <r>
    <x v="608"/>
    <x v="41"/>
    <m/>
    <n v="6358.27"/>
  </r>
  <r>
    <x v="609"/>
    <x v="42"/>
    <m/>
    <n v="13197.29"/>
  </r>
  <r>
    <x v="610"/>
    <x v="49"/>
    <m/>
    <n v="1500.55"/>
  </r>
  <r>
    <x v="611"/>
    <x v="50"/>
    <m/>
    <n v="276"/>
  </r>
  <r>
    <x v="612"/>
    <x v="61"/>
    <m/>
    <n v="1547.18"/>
  </r>
  <r>
    <x v="613"/>
    <x v="102"/>
    <m/>
    <n v="16831.759999999998"/>
  </r>
  <r>
    <x v="614"/>
    <x v="8"/>
    <m/>
    <n v="298.64"/>
  </r>
  <r>
    <x v="615"/>
    <x v="96"/>
    <m/>
    <n v="-298.64"/>
  </r>
  <r>
    <x v="616"/>
    <x v="23"/>
    <m/>
    <n v="-35130.839999999997"/>
  </r>
  <r>
    <x v="617"/>
    <x v="40"/>
    <m/>
    <n v="22803.26"/>
  </r>
  <r>
    <x v="618"/>
    <x v="41"/>
    <m/>
    <n v="2031.91"/>
  </r>
  <r>
    <x v="619"/>
    <x v="42"/>
    <m/>
    <n v="1472.78"/>
  </r>
  <r>
    <x v="620"/>
    <x v="61"/>
    <m/>
    <n v="3722.66"/>
  </r>
  <r>
    <x v="621"/>
    <x v="71"/>
    <m/>
    <n v="231.12"/>
  </r>
  <r>
    <x v="622"/>
    <x v="102"/>
    <m/>
    <n v="4869.1099999999997"/>
  </r>
  <r>
    <x v="623"/>
    <x v="103"/>
    <m/>
    <n v="-126.04"/>
  </r>
  <r>
    <x v="624"/>
    <x v="8"/>
    <m/>
    <n v="126.04"/>
  </r>
  <r>
    <x v="625"/>
    <x v="23"/>
    <m/>
    <n v="-158981.99"/>
  </r>
  <r>
    <x v="626"/>
    <x v="40"/>
    <m/>
    <n v="48819"/>
  </r>
  <r>
    <x v="627"/>
    <x v="41"/>
    <m/>
    <n v="4179.95"/>
  </r>
  <r>
    <x v="628"/>
    <x v="42"/>
    <m/>
    <n v="2853.98"/>
  </r>
  <r>
    <x v="629"/>
    <x v="49"/>
    <m/>
    <n v="904.3"/>
  </r>
  <r>
    <x v="630"/>
    <x v="50"/>
    <m/>
    <n v="276"/>
  </r>
  <r>
    <x v="632"/>
    <x v="71"/>
    <m/>
    <n v="1527.02"/>
  </r>
  <r>
    <x v="633"/>
    <x v="72"/>
    <m/>
    <n v="1200"/>
  </r>
  <r>
    <x v="761"/>
    <x v="92"/>
    <m/>
    <n v="89294"/>
  </r>
  <r>
    <x v="634"/>
    <x v="102"/>
    <m/>
    <n v="9927.74"/>
  </r>
  <r>
    <x v="635"/>
    <x v="8"/>
    <m/>
    <n v="11192.54"/>
  </r>
  <r>
    <x v="636"/>
    <x v="96"/>
    <m/>
    <n v="-11192.54"/>
  </r>
  <r>
    <x v="637"/>
    <x v="23"/>
    <m/>
    <n v="-70753.460000000006"/>
  </r>
  <r>
    <x v="638"/>
    <x v="40"/>
    <m/>
    <n v="60745"/>
  </r>
  <r>
    <x v="639"/>
    <x v="41"/>
    <m/>
    <n v="5706.72"/>
  </r>
  <r>
    <x v="640"/>
    <x v="47"/>
    <m/>
    <n v="7.43"/>
  </r>
  <r>
    <x v="641"/>
    <x v="49"/>
    <m/>
    <n v="1065.69"/>
  </r>
  <r>
    <x v="642"/>
    <x v="70"/>
    <m/>
    <n v="1643.05"/>
  </r>
  <r>
    <x v="643"/>
    <x v="71"/>
    <m/>
    <n v="1585.57"/>
  </r>
  <r>
    <x v="644"/>
    <x v="8"/>
    <m/>
    <n v="18828.48"/>
  </r>
  <r>
    <x v="645"/>
    <x v="96"/>
    <m/>
    <n v="-18828.48"/>
  </r>
  <r>
    <x v="646"/>
    <x v="23"/>
    <m/>
    <n v="-13709.52"/>
  </r>
  <r>
    <x v="647"/>
    <x v="43"/>
    <m/>
    <n v="12690.5"/>
  </r>
  <r>
    <x v="648"/>
    <x v="71"/>
    <m/>
    <n v="543.28"/>
  </r>
  <r>
    <x v="649"/>
    <x v="73"/>
    <m/>
    <n v="136.47"/>
  </r>
  <r>
    <x v="650"/>
    <x v="82"/>
    <m/>
    <n v="339.27"/>
  </r>
  <r>
    <x v="651"/>
    <x v="8"/>
    <m/>
    <n v="2656.76"/>
  </r>
  <r>
    <x v="652"/>
    <x v="96"/>
    <m/>
    <n v="-2656.76"/>
  </r>
  <r>
    <x v="653"/>
    <x v="23"/>
    <m/>
    <n v="-37343.24"/>
  </r>
  <r>
    <x v="654"/>
    <x v="44"/>
    <m/>
    <n v="3000"/>
  </r>
  <r>
    <x v="655"/>
    <x v="49"/>
    <m/>
    <n v="26438.46"/>
  </r>
  <r>
    <x v="656"/>
    <x v="50"/>
    <m/>
    <n v="2636.73"/>
  </r>
  <r>
    <x v="657"/>
    <x v="51"/>
    <m/>
    <n v="115.05"/>
  </r>
  <r>
    <x v="762"/>
    <x v="65"/>
    <m/>
    <n v="2653"/>
  </r>
  <r>
    <x v="658"/>
    <x v="76"/>
    <m/>
    <n v="2500"/>
  </r>
  <r>
    <x v="659"/>
    <x v="103"/>
    <m/>
    <n v="28221.4"/>
  </r>
  <r>
    <x v="660"/>
    <x v="8"/>
    <m/>
    <n v="-28221.4"/>
  </r>
  <r>
    <x v="661"/>
    <x v="23"/>
    <m/>
    <n v="-28221.4"/>
  </r>
  <r>
    <x v="662"/>
    <x v="76"/>
    <m/>
    <n v="23387.200000000001"/>
  </r>
  <r>
    <x v="663"/>
    <x v="113"/>
    <m/>
    <n v="4211.88"/>
  </r>
  <r>
    <x v="664"/>
    <x v="109"/>
    <m/>
    <n v="622.32000000000005"/>
  </r>
  <r>
    <x v="665"/>
    <x v="8"/>
    <m/>
    <n v="8806457.6099999994"/>
  </r>
  <r>
    <x v="666"/>
    <x v="9"/>
    <m/>
    <n v="-86744.29"/>
  </r>
  <r>
    <x v="667"/>
    <x v="20"/>
    <m/>
    <n v="-6007075.8700000001"/>
  </r>
  <r>
    <x v="668"/>
    <x v="124"/>
    <m/>
    <n v="-6311004.2300000004"/>
  </r>
  <r>
    <x v="763"/>
    <x v="145"/>
    <m/>
    <n v="-47965.29"/>
  </r>
  <r>
    <x v="669"/>
    <x v="40"/>
    <m/>
    <n v="6060"/>
  </r>
  <r>
    <x v="670"/>
    <x v="41"/>
    <m/>
    <n v="510.97"/>
  </r>
  <r>
    <x v="671"/>
    <x v="42"/>
    <m/>
    <n v="230.02"/>
  </r>
  <r>
    <x v="672"/>
    <x v="43"/>
    <m/>
    <n v="2580"/>
  </r>
  <r>
    <x v="673"/>
    <x v="44"/>
    <m/>
    <n v="57486.48"/>
  </r>
  <r>
    <x v="674"/>
    <x v="49"/>
    <m/>
    <n v="20476.43"/>
  </r>
  <r>
    <x v="675"/>
    <x v="106"/>
    <m/>
    <n v="42.19"/>
  </r>
  <r>
    <x v="676"/>
    <x v="51"/>
    <m/>
    <n v="1965.85"/>
  </r>
  <r>
    <x v="677"/>
    <x v="53"/>
    <m/>
    <n v="515"/>
  </r>
  <r>
    <x v="678"/>
    <x v="56"/>
    <m/>
    <n v="408.46"/>
  </r>
  <r>
    <x v="679"/>
    <x v="57"/>
    <m/>
    <n v="440"/>
  </r>
  <r>
    <x v="680"/>
    <x v="58"/>
    <m/>
    <n v="9294.7199999999993"/>
  </r>
  <r>
    <x v="681"/>
    <x v="61"/>
    <m/>
    <n v="5037.51"/>
  </r>
  <r>
    <x v="682"/>
    <x v="62"/>
    <m/>
    <n v="1687.88"/>
  </r>
  <r>
    <x v="683"/>
    <x v="64"/>
    <m/>
    <n v="82349.91"/>
  </r>
  <r>
    <x v="764"/>
    <x v="147"/>
    <m/>
    <n v="1919355.49"/>
  </r>
  <r>
    <x v="684"/>
    <x v="65"/>
    <m/>
    <n v="48386.12"/>
  </r>
  <r>
    <x v="685"/>
    <x v="98"/>
    <m/>
    <n v="11556.45"/>
  </r>
  <r>
    <x v="686"/>
    <x v="67"/>
    <m/>
    <n v="3607.68"/>
  </r>
  <r>
    <x v="688"/>
    <x v="69"/>
    <m/>
    <n v="2700"/>
  </r>
  <r>
    <x v="689"/>
    <x v="71"/>
    <m/>
    <n v="30758.1"/>
  </r>
  <r>
    <x v="690"/>
    <x v="72"/>
    <m/>
    <n v="16730"/>
  </r>
  <r>
    <x v="691"/>
    <x v="99"/>
    <m/>
    <n v="1687.24"/>
  </r>
  <r>
    <x v="692"/>
    <x v="73"/>
    <m/>
    <n v="35535.160000000003"/>
  </r>
  <r>
    <x v="693"/>
    <x v="125"/>
    <m/>
    <n v="2400"/>
  </r>
  <r>
    <x v="694"/>
    <x v="76"/>
    <m/>
    <n v="21274.13"/>
  </r>
  <r>
    <x v="695"/>
    <x v="77"/>
    <m/>
    <n v="31821.51"/>
  </r>
  <r>
    <x v="696"/>
    <x v="78"/>
    <m/>
    <n v="180714.35"/>
  </r>
  <r>
    <x v="697"/>
    <x v="79"/>
    <m/>
    <n v="13932.72"/>
  </r>
  <r>
    <x v="698"/>
    <x v="118"/>
    <m/>
    <n v="193"/>
  </r>
  <r>
    <x v="699"/>
    <x v="80"/>
    <m/>
    <n v="3715"/>
  </r>
  <r>
    <x v="700"/>
    <x v="126"/>
    <m/>
    <n v="7314.4"/>
  </r>
  <r>
    <x v="701"/>
    <x v="82"/>
    <m/>
    <n v="118193.66"/>
  </r>
  <r>
    <x v="702"/>
    <x v="83"/>
    <m/>
    <n v="30667.32"/>
  </r>
  <r>
    <x v="703"/>
    <x v="101"/>
    <m/>
    <n v="41176.46"/>
  </r>
  <r>
    <x v="704"/>
    <x v="84"/>
    <m/>
    <n v="536"/>
  </r>
  <r>
    <x v="705"/>
    <x v="85"/>
    <m/>
    <n v="3322.2"/>
  </r>
  <r>
    <x v="706"/>
    <x v="88"/>
    <m/>
    <n v="113996.52"/>
  </r>
  <r>
    <x v="708"/>
    <x v="90"/>
    <m/>
    <n v="699.64"/>
  </r>
  <r>
    <x v="709"/>
    <x v="91"/>
    <m/>
    <n v="136727.76"/>
  </r>
  <r>
    <x v="710"/>
    <x v="115"/>
    <m/>
    <n v="46893.63"/>
  </r>
  <r>
    <x v="711"/>
    <x v="92"/>
    <m/>
    <n v="467444.04"/>
  </r>
  <r>
    <x v="712"/>
    <x v="93"/>
    <m/>
    <n v="33650"/>
  </r>
  <r>
    <x v="713"/>
    <x v="122"/>
    <m/>
    <n v="107020.56"/>
  </r>
  <r>
    <x v="714"/>
    <x v="94"/>
    <m/>
    <n v="803.14"/>
  </r>
  <r>
    <x v="715"/>
    <x v="121"/>
    <m/>
    <n v="17956.93"/>
  </r>
  <r>
    <x v="716"/>
    <x v="128"/>
    <m/>
    <n v="6477.44"/>
  </r>
  <r>
    <x v="717"/>
    <x v="20"/>
    <m/>
    <n v="109728.66"/>
  </r>
  <r>
    <x v="718"/>
    <x v="40"/>
    <m/>
    <n v="-109728.66"/>
  </r>
  <r>
    <x v="719"/>
    <x v="129"/>
    <m/>
    <n v="8491767"/>
  </r>
  <r>
    <x v="720"/>
    <x v="130"/>
    <m/>
    <n v="170648.32000000001"/>
  </r>
  <r>
    <x v="721"/>
    <x v="131"/>
    <m/>
    <n v="3266540.66"/>
  </r>
  <r>
    <x v="722"/>
    <x v="65"/>
    <m/>
    <n v="798200.26"/>
  </r>
  <r>
    <x v="723"/>
    <x v="132"/>
    <m/>
    <n v="841618.1"/>
  </r>
  <r>
    <x v="765"/>
    <x v="151"/>
    <m/>
    <n v="92404.47"/>
  </r>
  <r>
    <x v="724"/>
    <x v="133"/>
    <m/>
    <n v="-2304180.84"/>
  </r>
  <r>
    <x v="725"/>
    <x v="134"/>
    <m/>
    <n v="2477982.62"/>
  </r>
  <r>
    <x v="766"/>
    <x v="53"/>
    <m/>
    <n v="103812.63"/>
  </r>
  <r>
    <x v="767"/>
    <x v="152"/>
    <m/>
    <n v="-8485.25"/>
  </r>
  <r>
    <x v="768"/>
    <x v="153"/>
    <m/>
    <n v="-25966"/>
  </r>
  <r>
    <x v="769"/>
    <x v="154"/>
    <m/>
    <n v="-1356.65"/>
  </r>
  <r>
    <x v="770"/>
    <x v="155"/>
    <m/>
    <n v="-83109.33"/>
  </r>
  <r>
    <x v="726"/>
    <x v="20"/>
    <m/>
    <n v="-469751.43"/>
  </r>
  <r>
    <x v="727"/>
    <x v="135"/>
    <m/>
    <n v="-11229576.42"/>
  </r>
  <r>
    <x v="771"/>
    <x v="145"/>
    <m/>
    <n v="103812.63"/>
  </r>
  <r>
    <x v="772"/>
    <x v="147"/>
    <m/>
    <n v="-77299.87"/>
  </r>
  <r>
    <x v="773"/>
    <x v="156"/>
    <m/>
    <n v="-2496103.81"/>
  </r>
  <r>
    <x v="774"/>
    <x v="157"/>
    <m/>
    <n v="349042.91"/>
  </r>
  <r>
    <x v="729"/>
    <x v="136"/>
    <m/>
    <n v="-62710.26"/>
  </r>
  <r>
    <x v="730"/>
    <x v="137"/>
    <m/>
    <n v="-622879.84"/>
  </r>
  <r>
    <x v="731"/>
    <x v="138"/>
    <m/>
    <n v="-960255.25"/>
  </r>
  <r>
    <x v="733"/>
    <x v="140"/>
    <m/>
    <n v="-25722.19"/>
  </r>
  <r>
    <x v="734"/>
    <x v="141"/>
    <m/>
    <n v="-7501312.0300000003"/>
  </r>
  <r>
    <x v="736"/>
    <x v="20"/>
    <m/>
    <n v="7484182.5300000003"/>
  </r>
  <r>
    <x v="737"/>
    <x v="135"/>
    <m/>
    <n v="4371079.3899999997"/>
  </r>
  <r>
    <x v="775"/>
    <x v="145"/>
    <m/>
    <n v="971375.35"/>
  </r>
  <r>
    <x v="776"/>
    <x v="40"/>
    <m/>
    <n v="-53991"/>
  </r>
  <r>
    <x v="777"/>
    <x v="147"/>
    <m/>
    <n v="-3599766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compact="0" indent="0" compactData="0" gridDropZones="1" showDrill="0" multipleFieldFilters="0">
  <location ref="G6:J786" firstHeaderRow="1" firstDataRow="2" firstDataCol="2"/>
  <pivotFields count="4">
    <pivotField axis="axisRow" compact="0" defaultSubtotal="0" outline="0" showAll="0">
      <items count="778">
        <item x="0"/>
        <item x="1"/>
        <item x="2"/>
        <item x="3"/>
        <item x="4"/>
        <item x="5"/>
        <item x="6"/>
        <item x="738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739"/>
        <item x="74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741"/>
        <item x="742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43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74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7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746"/>
        <item x="747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748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4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750"/>
        <item x="751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52"/>
        <item x="753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754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755"/>
        <item x="394"/>
        <item x="395"/>
        <item x="396"/>
        <item x="397"/>
        <item x="398"/>
        <item x="399"/>
        <item x="400"/>
        <item x="756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757"/>
        <item x="440"/>
        <item x="441"/>
        <item x="442"/>
        <item x="443"/>
        <item x="444"/>
        <item x="758"/>
        <item x="759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760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761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62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76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764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65"/>
        <item x="724"/>
        <item x="725"/>
        <item x="766"/>
        <item x="767"/>
        <item x="768"/>
        <item x="769"/>
        <item x="770"/>
        <item x="726"/>
        <item x="727"/>
        <item x="771"/>
        <item x="772"/>
        <item x="773"/>
        <item x="774"/>
        <item x="728"/>
        <item x="729"/>
        <item x="730"/>
        <item x="731"/>
        <item x="732"/>
        <item x="733"/>
        <item x="734"/>
        <item x="735"/>
        <item x="736"/>
        <item x="737"/>
        <item x="775"/>
        <item x="776"/>
        <item x="777"/>
      </items>
    </pivotField>
    <pivotField axis="axisRow" compact="0" defaultSubtotal="0" outline="0" showAll="0">
      <items count="158">
        <item x="144"/>
        <item x="24"/>
        <item x="9"/>
        <item x="15"/>
        <item x="111"/>
        <item x="13"/>
        <item x="14"/>
        <item x="136"/>
        <item x="55"/>
        <item x="46"/>
        <item x="19"/>
        <item x="152"/>
        <item x="131"/>
        <item x="153"/>
        <item x="31"/>
        <item x="12"/>
        <item x="8"/>
        <item x="110"/>
        <item x="4"/>
        <item x="3"/>
        <item x="1"/>
        <item x="5"/>
        <item x="2"/>
        <item x="7"/>
        <item x="0"/>
        <item x="6"/>
        <item x="149"/>
        <item x="86"/>
        <item x="87"/>
        <item x="88"/>
        <item x="104"/>
        <item x="107"/>
        <item x="123"/>
        <item x="79"/>
        <item x="17"/>
        <item x="22"/>
        <item x="120"/>
        <item x="56"/>
        <item x="128"/>
        <item x="122"/>
        <item x="134"/>
        <item x="23"/>
        <item x="103"/>
        <item x="45"/>
        <item x="28"/>
        <item x="146"/>
        <item x="11"/>
        <item x="80"/>
        <item x="96"/>
        <item x="157"/>
        <item x="143"/>
        <item x="125"/>
        <item x="77"/>
        <item x="95"/>
        <item x="47"/>
        <item x="101"/>
        <item x="38"/>
        <item x="65"/>
        <item x="108"/>
        <item x="66"/>
        <item x="98"/>
        <item x="67"/>
        <item x="117"/>
        <item x="150"/>
        <item x="76"/>
        <item x="42"/>
        <item x="75"/>
        <item x="119"/>
        <item x="78"/>
        <item x="91"/>
        <item x="93"/>
        <item x="112"/>
        <item x="102"/>
        <item x="89"/>
        <item x="26"/>
        <item x="61"/>
        <item x="16"/>
        <item x="64"/>
        <item x="27"/>
        <item x="135"/>
        <item x="18"/>
        <item x="51"/>
        <item x="50"/>
        <item x="52"/>
        <item x="68"/>
        <item x="142"/>
        <item x="141"/>
        <item x="100"/>
        <item x="129"/>
        <item x="94"/>
        <item x="130"/>
        <item x="69"/>
        <item x="127"/>
        <item x="156"/>
        <item x="133"/>
        <item x="97"/>
        <item x="148"/>
        <item x="126"/>
        <item x="106"/>
        <item x="83"/>
        <item x="99"/>
        <item x="63"/>
        <item x="74"/>
        <item x="137"/>
        <item x="20"/>
        <item x="124"/>
        <item x="139"/>
        <item x="140"/>
        <item x="138"/>
        <item x="113"/>
        <item x="34"/>
        <item x="32"/>
        <item x="70"/>
        <item x="109"/>
        <item x="116"/>
        <item x="81"/>
        <item x="29"/>
        <item x="10"/>
        <item x="41"/>
        <item x="48"/>
        <item x="60"/>
        <item x="121"/>
        <item x="147"/>
        <item x="59"/>
        <item x="145"/>
        <item x="44"/>
        <item x="105"/>
        <item x="25"/>
        <item x="62"/>
        <item x="54"/>
        <item x="33"/>
        <item x="35"/>
        <item x="115"/>
        <item x="37"/>
        <item x="151"/>
        <item x="40"/>
        <item x="30"/>
        <item x="90"/>
        <item x="92"/>
        <item x="84"/>
        <item x="57"/>
        <item x="39"/>
        <item x="43"/>
        <item x="36"/>
        <item x="155"/>
        <item x="154"/>
        <item x="53"/>
        <item x="114"/>
        <item x="49"/>
        <item x="72"/>
        <item x="85"/>
        <item x="71"/>
        <item x="118"/>
        <item x="21"/>
        <item x="58"/>
        <item x="73"/>
        <item x="132"/>
        <item x="82"/>
      </items>
    </pivotField>
    <pivotField dataField="1" compact="0" defaultSubtotal="0" outline="0" showAll="0"/>
    <pivotField dataField="1" compact="0" defaultSubtotal="0" outline="0" showAll="0"/>
  </pivotFields>
  <rowFields count="2">
    <field x="0"/>
    <field x="1"/>
  </rowFields>
  <rowItems count="779">
    <i>
      <x/>
      <x v="24"/>
    </i>
    <i>
      <x v="1"/>
      <x v="20"/>
    </i>
    <i>
      <x v="2"/>
      <x v="22"/>
    </i>
    <i>
      <x v="3"/>
      <x v="19"/>
    </i>
    <i>
      <x v="4"/>
      <x v="18"/>
    </i>
    <i>
      <x v="5"/>
      <x v="21"/>
    </i>
    <i>
      <x v="6"/>
      <x v="25"/>
    </i>
    <i>
      <x v="7"/>
      <x v="17"/>
    </i>
    <i>
      <x v="8"/>
      <x v="23"/>
    </i>
    <i>
      <x v="9"/>
      <x v="16"/>
    </i>
    <i>
      <x v="10"/>
      <x v="2"/>
    </i>
    <i>
      <x v="11"/>
      <x v="117"/>
    </i>
    <i>
      <x v="12"/>
      <x v="2"/>
    </i>
    <i>
      <x v="13"/>
      <x v="46"/>
    </i>
    <i>
      <x v="14"/>
      <x v="15"/>
    </i>
    <i>
      <x v="15"/>
      <x v="5"/>
    </i>
    <i>
      <x v="16"/>
      <x v="6"/>
    </i>
    <i>
      <x v="17"/>
      <x v="3"/>
    </i>
    <i>
      <x v="18"/>
      <x v="76"/>
    </i>
    <i>
      <x v="19"/>
      <x v="34"/>
    </i>
    <i>
      <x v="20"/>
      <x v="80"/>
    </i>
    <i>
      <x v="21"/>
      <x v="10"/>
    </i>
    <i>
      <x v="22"/>
      <x v="104"/>
    </i>
    <i>
      <x v="23"/>
      <x v="153"/>
    </i>
    <i>
      <x v="24"/>
      <x v="35"/>
    </i>
    <i>
      <x v="25"/>
      <x v="41"/>
    </i>
    <i>
      <x v="26"/>
      <x v="1"/>
    </i>
    <i>
      <x v="27"/>
      <x v="127"/>
    </i>
    <i>
      <x v="28"/>
      <x v="74"/>
    </i>
    <i>
      <x v="29"/>
      <x v="78"/>
    </i>
    <i>
      <x v="30"/>
      <x v="50"/>
    </i>
    <i>
      <x v="31"/>
      <x/>
    </i>
    <i>
      <x v="32"/>
      <x v="44"/>
    </i>
    <i>
      <x v="33"/>
      <x v="116"/>
    </i>
    <i>
      <x v="34"/>
      <x v="136"/>
    </i>
    <i>
      <x v="35"/>
      <x v="14"/>
    </i>
    <i>
      <x v="36"/>
      <x v="111"/>
    </i>
    <i>
      <x v="37"/>
      <x v="130"/>
    </i>
    <i>
      <x v="38"/>
      <x v="110"/>
    </i>
    <i>
      <x v="39"/>
      <x v="131"/>
    </i>
    <i>
      <x v="40"/>
      <x v="143"/>
    </i>
    <i>
      <x v="41"/>
      <x v="133"/>
    </i>
    <i>
      <x v="42"/>
      <x v="56"/>
    </i>
    <i>
      <x v="43"/>
      <x v="141"/>
    </i>
    <i>
      <x v="44"/>
      <x v="124"/>
    </i>
    <i>
      <x v="45"/>
      <x v="45"/>
    </i>
    <i>
      <x v="46"/>
      <x v="135"/>
    </i>
    <i>
      <x v="47"/>
      <x v="118"/>
    </i>
    <i>
      <x v="48"/>
      <x v="65"/>
    </i>
    <i>
      <x v="49"/>
      <x v="142"/>
    </i>
    <i>
      <x v="50"/>
      <x v="125"/>
    </i>
    <i>
      <x v="51"/>
      <x v="43"/>
    </i>
    <i>
      <x v="52"/>
      <x v="9"/>
    </i>
    <i>
      <x v="53"/>
      <x v="54"/>
    </i>
    <i>
      <x v="54"/>
      <x v="119"/>
    </i>
    <i>
      <x v="55"/>
      <x v="148"/>
    </i>
    <i>
      <x v="56"/>
      <x v="82"/>
    </i>
    <i>
      <x v="57"/>
      <x v="81"/>
    </i>
    <i>
      <x v="58"/>
      <x v="83"/>
    </i>
    <i>
      <x v="59"/>
      <x v="146"/>
    </i>
    <i>
      <x v="60"/>
      <x v="129"/>
    </i>
    <i>
      <x v="61"/>
      <x v="8"/>
    </i>
    <i>
      <x v="62"/>
      <x v="37"/>
    </i>
    <i>
      <x v="63"/>
      <x v="140"/>
    </i>
    <i>
      <x v="64"/>
      <x v="154"/>
    </i>
    <i>
      <x v="65"/>
      <x v="123"/>
    </i>
    <i>
      <x v="66"/>
      <x v="120"/>
    </i>
    <i>
      <x v="67"/>
      <x v="75"/>
    </i>
    <i>
      <x v="68"/>
      <x v="128"/>
    </i>
    <i>
      <x v="69"/>
      <x v="101"/>
    </i>
    <i>
      <x v="70"/>
      <x v="77"/>
    </i>
    <i>
      <x v="71"/>
      <x v="122"/>
    </i>
    <i>
      <x v="72"/>
      <x v="57"/>
    </i>
    <i>
      <x v="73"/>
      <x v="59"/>
    </i>
    <i>
      <x v="74"/>
      <x v="61"/>
    </i>
    <i>
      <x v="75"/>
      <x v="84"/>
    </i>
    <i>
      <x v="76"/>
      <x v="91"/>
    </i>
    <i>
      <x v="77"/>
      <x v="112"/>
    </i>
    <i>
      <x v="78"/>
      <x v="151"/>
    </i>
    <i>
      <x v="79"/>
      <x v="149"/>
    </i>
    <i>
      <x v="80"/>
      <x v="155"/>
    </i>
    <i>
      <x v="81"/>
      <x v="102"/>
    </i>
    <i>
      <x v="82"/>
      <x v="66"/>
    </i>
    <i>
      <x v="83"/>
      <x v="64"/>
    </i>
    <i>
      <x v="84"/>
      <x v="52"/>
    </i>
    <i>
      <x v="85"/>
      <x v="68"/>
    </i>
    <i>
      <x v="86"/>
      <x v="33"/>
    </i>
    <i>
      <x v="87"/>
      <x v="47"/>
    </i>
    <i>
      <x v="88"/>
      <x v="115"/>
    </i>
    <i>
      <x v="89"/>
      <x v="157"/>
    </i>
    <i>
      <x v="90"/>
      <x v="141"/>
    </i>
    <i>
      <x v="91"/>
      <x v="99"/>
    </i>
    <i>
      <x v="92"/>
      <x v="139"/>
    </i>
    <i>
      <x v="93"/>
      <x v="150"/>
    </i>
    <i>
      <x v="94"/>
      <x v="27"/>
    </i>
    <i>
      <x v="95"/>
      <x v="28"/>
    </i>
    <i>
      <x v="96"/>
      <x v="29"/>
    </i>
    <i>
      <x v="97"/>
      <x v="73"/>
    </i>
    <i>
      <x v="98"/>
      <x v="137"/>
    </i>
    <i>
      <x v="99"/>
      <x v="69"/>
    </i>
    <i>
      <x v="100"/>
      <x v="138"/>
    </i>
    <i>
      <x v="101"/>
      <x v="70"/>
    </i>
    <i>
      <x v="102"/>
      <x v="89"/>
    </i>
    <i>
      <x v="103"/>
      <x v="53"/>
    </i>
    <i>
      <x v="104"/>
      <x v="96"/>
    </i>
    <i>
      <x v="105"/>
      <x v="16"/>
    </i>
    <i>
      <x v="106"/>
      <x v="2"/>
    </i>
    <i>
      <x v="107"/>
      <x v="48"/>
    </i>
    <i>
      <x v="108"/>
      <x v="41"/>
    </i>
    <i>
      <x v="109"/>
      <x v="135"/>
    </i>
    <i>
      <x v="110"/>
      <x v="118"/>
    </i>
    <i>
      <x v="111"/>
      <x v="65"/>
    </i>
    <i>
      <x v="112"/>
      <x v="142"/>
    </i>
    <i>
      <x v="113"/>
      <x v="125"/>
    </i>
    <i>
      <x v="114"/>
      <x v="43"/>
    </i>
    <i>
      <x v="115"/>
      <x v="54"/>
    </i>
    <i>
      <x v="116"/>
      <x v="148"/>
    </i>
    <i>
      <x v="117"/>
      <x v="82"/>
    </i>
    <i>
      <x v="118"/>
      <x v="81"/>
    </i>
    <i>
      <x v="119"/>
      <x v="37"/>
    </i>
    <i>
      <x v="120"/>
      <x v="140"/>
    </i>
    <i>
      <x v="121"/>
      <x v="154"/>
    </i>
    <i>
      <x v="122"/>
      <x v="123"/>
    </i>
    <i>
      <x v="123"/>
      <x v="120"/>
    </i>
    <i>
      <x v="124"/>
      <x v="75"/>
    </i>
    <i>
      <x v="125"/>
      <x v="95"/>
    </i>
    <i>
      <x v="126"/>
      <x v="57"/>
    </i>
    <i>
      <x v="127"/>
      <x v="60"/>
    </i>
    <i>
      <x v="128"/>
      <x v="61"/>
    </i>
    <i>
      <x v="129"/>
      <x v="84"/>
    </i>
    <i>
      <x v="130"/>
      <x v="91"/>
    </i>
    <i>
      <x v="131"/>
      <x v="112"/>
    </i>
    <i>
      <x v="132"/>
      <x v="151"/>
    </i>
    <i>
      <x v="133"/>
      <x v="149"/>
    </i>
    <i>
      <x v="134"/>
      <x v="100"/>
    </i>
    <i>
      <x v="135"/>
      <x v="155"/>
    </i>
    <i>
      <x v="136"/>
      <x v="66"/>
    </i>
    <i>
      <x v="137"/>
      <x v="64"/>
    </i>
    <i>
      <x v="138"/>
      <x v="52"/>
    </i>
    <i>
      <x v="139"/>
      <x v="87"/>
    </i>
    <i>
      <x v="140"/>
      <x v="33"/>
    </i>
    <i>
      <x v="141"/>
      <x v="157"/>
    </i>
    <i>
      <x v="142"/>
      <x v="55"/>
    </i>
    <i>
      <x v="143"/>
      <x v="29"/>
    </i>
    <i>
      <x v="144"/>
      <x v="137"/>
    </i>
    <i>
      <x v="145"/>
      <x v="69"/>
    </i>
    <i>
      <x v="146"/>
      <x v="72"/>
    </i>
    <i>
      <x v="147"/>
      <x v="42"/>
    </i>
    <i>
      <x v="148"/>
      <x v="16"/>
    </i>
    <i>
      <x v="149"/>
      <x v="2"/>
    </i>
    <i>
      <x v="150"/>
      <x v="41"/>
    </i>
    <i>
      <x v="151"/>
      <x v="135"/>
    </i>
    <i>
      <x v="152"/>
      <x v="118"/>
    </i>
    <i>
      <x v="153"/>
      <x v="125"/>
    </i>
    <i>
      <x v="154"/>
      <x v="54"/>
    </i>
    <i>
      <x v="155"/>
      <x v="148"/>
    </i>
    <i>
      <x v="156"/>
      <x v="30"/>
    </i>
    <i>
      <x v="157"/>
      <x v="146"/>
    </i>
    <i>
      <x v="158"/>
      <x v="129"/>
    </i>
    <i>
      <x v="159"/>
      <x v="149"/>
    </i>
    <i>
      <x v="160"/>
      <x v="16"/>
    </i>
    <i>
      <x v="161"/>
      <x v="2"/>
    </i>
    <i>
      <x v="162"/>
      <x v="48"/>
    </i>
    <i>
      <x v="163"/>
      <x v="41"/>
    </i>
    <i>
      <x v="164"/>
      <x v="55"/>
    </i>
    <i>
      <x v="165"/>
      <x v="72"/>
    </i>
    <i>
      <x v="166"/>
      <x v="16"/>
    </i>
    <i>
      <x v="167"/>
      <x v="2"/>
    </i>
    <i>
      <x v="168"/>
      <x v="48"/>
    </i>
    <i>
      <x v="169"/>
      <x v="41"/>
    </i>
    <i>
      <x v="170"/>
      <x v="126"/>
    </i>
    <i>
      <x v="171"/>
      <x v="135"/>
    </i>
    <i>
      <x v="172"/>
      <x v="118"/>
    </i>
    <i>
      <x v="173"/>
      <x v="65"/>
    </i>
    <i>
      <x v="174"/>
      <x v="142"/>
    </i>
    <i>
      <x v="175"/>
      <x v="148"/>
    </i>
    <i>
      <x v="176"/>
      <x v="98"/>
    </i>
    <i>
      <x v="177"/>
      <x v="30"/>
    </i>
    <i>
      <x v="178"/>
      <x v="31"/>
    </i>
    <i>
      <x v="179"/>
      <x v="75"/>
    </i>
    <i>
      <x v="180"/>
      <x v="61"/>
    </i>
    <i>
      <x v="181"/>
      <x v="112"/>
    </i>
    <i>
      <x v="182"/>
      <x v="151"/>
    </i>
    <i>
      <x v="183"/>
      <x v="149"/>
    </i>
    <i>
      <x v="184"/>
      <x v="155"/>
    </i>
    <i>
      <x v="185"/>
      <x v="64"/>
    </i>
    <i>
      <x v="186"/>
      <x v="52"/>
    </i>
    <i>
      <x v="187"/>
      <x v="42"/>
    </i>
    <i>
      <x v="188"/>
      <x v="16"/>
    </i>
    <i>
      <x v="189"/>
      <x v="41"/>
    </i>
    <i>
      <x v="190"/>
      <x v="135"/>
    </i>
    <i>
      <x v="191"/>
      <x v="118"/>
    </i>
    <i>
      <x v="192"/>
      <x v="65"/>
    </i>
    <i>
      <x v="193"/>
      <x v="148"/>
    </i>
    <i>
      <x v="194"/>
      <x v="37"/>
    </i>
    <i>
      <x v="195"/>
      <x v="154"/>
    </i>
    <i>
      <x v="196"/>
      <x v="75"/>
    </i>
    <i>
      <x v="197"/>
      <x v="72"/>
    </i>
    <i>
      <x v="198"/>
      <x v="42"/>
    </i>
    <i>
      <x v="199"/>
      <x v="16"/>
    </i>
    <i>
      <x v="200"/>
      <x v="2"/>
    </i>
    <i>
      <x v="201"/>
      <x v="41"/>
    </i>
    <i>
      <x v="202"/>
      <x v="135"/>
    </i>
    <i>
      <x v="203"/>
      <x v="118"/>
    </i>
    <i>
      <x v="204"/>
      <x v="65"/>
    </i>
    <i>
      <x v="205"/>
      <x v="148"/>
    </i>
    <i>
      <x v="206"/>
      <x v="82"/>
    </i>
    <i>
      <x v="207"/>
      <x v="37"/>
    </i>
    <i>
      <x v="208"/>
      <x v="154"/>
    </i>
    <i>
      <x v="209"/>
      <x v="75"/>
    </i>
    <i>
      <x v="210"/>
      <x v="57"/>
    </i>
    <i>
      <x v="211"/>
      <x v="58"/>
    </i>
    <i>
      <x v="212"/>
      <x v="112"/>
    </i>
    <i>
      <x v="213"/>
      <x v="151"/>
    </i>
    <i>
      <x v="214"/>
      <x v="155"/>
    </i>
    <i>
      <x v="215"/>
      <x v="72"/>
    </i>
    <i>
      <x v="216"/>
      <x v="42"/>
    </i>
    <i>
      <x v="217"/>
      <x v="16"/>
    </i>
    <i>
      <x v="218"/>
      <x v="2"/>
    </i>
    <i>
      <x v="219"/>
      <x v="41"/>
    </i>
    <i>
      <x v="220"/>
      <x v="135"/>
    </i>
    <i>
      <x v="221"/>
      <x v="118"/>
    </i>
    <i>
      <x v="222"/>
      <x v="65"/>
    </i>
    <i>
      <x v="223"/>
      <x v="125"/>
    </i>
    <i>
      <x v="224"/>
      <x v="43"/>
    </i>
    <i>
      <x v="225"/>
      <x v="54"/>
    </i>
    <i>
      <x v="226"/>
      <x v="148"/>
    </i>
    <i>
      <x v="227"/>
      <x v="82"/>
    </i>
    <i>
      <x v="228"/>
      <x v="81"/>
    </i>
    <i>
      <x v="229"/>
      <x v="83"/>
    </i>
    <i>
      <x v="230"/>
      <x v="37"/>
    </i>
    <i>
      <x v="231"/>
      <x v="154"/>
    </i>
    <i>
      <x v="232"/>
      <x v="75"/>
    </i>
    <i>
      <x v="233"/>
      <x v="77"/>
    </i>
    <i>
      <x v="234"/>
      <x v="122"/>
    </i>
    <i>
      <x v="235"/>
      <x v="59"/>
    </i>
    <i>
      <x v="236"/>
      <x v="61"/>
    </i>
    <i>
      <x v="237"/>
      <x v="151"/>
    </i>
    <i>
      <x v="238"/>
      <x v="149"/>
    </i>
    <i>
      <x v="239"/>
      <x v="155"/>
    </i>
    <i>
      <x v="240"/>
      <x v="52"/>
    </i>
    <i>
      <x v="241"/>
      <x v="47"/>
    </i>
    <i>
      <x v="242"/>
      <x v="157"/>
    </i>
    <i>
      <x v="243"/>
      <x v="113"/>
    </i>
    <i>
      <x v="244"/>
      <x v="72"/>
    </i>
    <i>
      <x v="245"/>
      <x v="17"/>
    </i>
    <i>
      <x v="246"/>
      <x v="16"/>
    </i>
    <i>
      <x v="247"/>
      <x v="2"/>
    </i>
    <i>
      <x v="248"/>
      <x v="2"/>
    </i>
    <i>
      <x v="249"/>
      <x v="15"/>
    </i>
    <i>
      <x v="250"/>
      <x v="4"/>
    </i>
    <i>
      <x v="251"/>
      <x v="76"/>
    </i>
    <i>
      <x v="252"/>
      <x v="48"/>
    </i>
    <i>
      <x v="253"/>
      <x v="41"/>
    </i>
    <i>
      <x v="254"/>
      <x v="135"/>
    </i>
    <i>
      <x v="255"/>
      <x v="118"/>
    </i>
    <i>
      <x v="256"/>
      <x v="65"/>
    </i>
    <i>
      <x v="257"/>
      <x v="26"/>
    </i>
    <i>
      <x v="258"/>
      <x v="142"/>
    </i>
    <i>
      <x v="259"/>
      <x v="125"/>
    </i>
    <i>
      <x v="260"/>
      <x v="43"/>
    </i>
    <i>
      <x v="261"/>
      <x v="54"/>
    </i>
    <i>
      <x v="262"/>
      <x v="148"/>
    </i>
    <i>
      <x v="263"/>
      <x v="82"/>
    </i>
    <i>
      <x v="264"/>
      <x v="81"/>
    </i>
    <i>
      <x v="265"/>
      <x v="83"/>
    </i>
    <i>
      <x v="266"/>
      <x v="146"/>
    </i>
    <i>
      <x v="267"/>
      <x v="129"/>
    </i>
    <i>
      <x v="268"/>
      <x v="37"/>
    </i>
    <i>
      <x v="269"/>
      <x v="140"/>
    </i>
    <i>
      <x v="270"/>
      <x v="154"/>
    </i>
    <i>
      <x v="271"/>
      <x v="75"/>
    </i>
    <i>
      <x v="272"/>
      <x v="101"/>
    </i>
    <i>
      <x v="273"/>
      <x v="57"/>
    </i>
    <i>
      <x v="274"/>
      <x v="59"/>
    </i>
    <i>
      <x v="275"/>
      <x v="112"/>
    </i>
    <i>
      <x v="276"/>
      <x v="151"/>
    </i>
    <i>
      <x v="277"/>
      <x v="149"/>
    </i>
    <i>
      <x v="278"/>
      <x v="155"/>
    </i>
    <i>
      <x v="279"/>
      <x v="64"/>
    </i>
    <i>
      <x v="280"/>
      <x v="52"/>
    </i>
    <i>
      <x v="281"/>
      <x v="71"/>
    </i>
    <i>
      <x v="282"/>
      <x v="157"/>
    </i>
    <i>
      <x v="283"/>
      <x v="141"/>
    </i>
    <i>
      <x v="284"/>
      <x v="109"/>
    </i>
    <i>
      <x v="285"/>
      <x v="147"/>
    </i>
    <i>
      <x v="286"/>
      <x v="113"/>
    </i>
    <i>
      <x v="287"/>
      <x v="72"/>
    </i>
    <i>
      <x v="288"/>
      <x v="41"/>
    </i>
    <i>
      <x v="289"/>
      <x v="135"/>
    </i>
    <i>
      <x v="290"/>
      <x v="118"/>
    </i>
    <i>
      <x v="291"/>
      <x v="132"/>
    </i>
    <i>
      <x v="292"/>
      <x v="16"/>
    </i>
    <i>
      <x v="293"/>
      <x v="2"/>
    </i>
    <i>
      <x v="294"/>
      <x v="48"/>
    </i>
    <i>
      <x v="295"/>
      <x v="41"/>
    </i>
    <i>
      <x v="296"/>
      <x v="81"/>
    </i>
    <i>
      <x v="297"/>
      <x v="57"/>
    </i>
    <i>
      <x v="298"/>
      <x v="138"/>
    </i>
    <i>
      <x v="299"/>
      <x v="16"/>
    </i>
    <i>
      <x v="300"/>
      <x v="2"/>
    </i>
    <i>
      <x v="301"/>
      <x v="48"/>
    </i>
    <i>
      <x v="302"/>
      <x v="41"/>
    </i>
    <i>
      <x v="303"/>
      <x v="64"/>
    </i>
    <i>
      <x v="304"/>
      <x v="42"/>
    </i>
    <i>
      <x v="305"/>
      <x v="16"/>
    </i>
    <i>
      <x v="306"/>
      <x v="2"/>
    </i>
    <i>
      <x v="307"/>
      <x v="76"/>
    </i>
    <i>
      <x v="308"/>
      <x v="41"/>
    </i>
    <i>
      <x v="309"/>
      <x v="135"/>
    </i>
    <i>
      <x v="310"/>
      <x v="118"/>
    </i>
    <i>
      <x v="311"/>
      <x v="65"/>
    </i>
    <i>
      <x v="312"/>
      <x v="125"/>
    </i>
    <i>
      <x v="313"/>
      <x v="43"/>
    </i>
    <i>
      <x v="314"/>
      <x v="54"/>
    </i>
    <i>
      <x v="315"/>
      <x v="148"/>
    </i>
    <i>
      <x v="316"/>
      <x v="98"/>
    </i>
    <i>
      <x v="317"/>
      <x v="114"/>
    </i>
    <i>
      <x v="318"/>
      <x v="30"/>
    </i>
    <i>
      <x v="319"/>
      <x v="37"/>
    </i>
    <i>
      <x v="320"/>
      <x v="154"/>
    </i>
    <i>
      <x v="321"/>
      <x v="123"/>
    </i>
    <i>
      <x v="322"/>
      <x v="75"/>
    </i>
    <i>
      <x v="323"/>
      <x v="95"/>
    </i>
    <i>
      <x v="324"/>
      <x v="57"/>
    </i>
    <i>
      <x v="325"/>
      <x v="59"/>
    </i>
    <i>
      <x v="326"/>
      <x v="61"/>
    </i>
    <i>
      <x v="327"/>
      <x v="62"/>
    </i>
    <i>
      <x v="328"/>
      <x v="84"/>
    </i>
    <i>
      <x v="329"/>
      <x v="112"/>
    </i>
    <i>
      <x v="330"/>
      <x v="151"/>
    </i>
    <i>
      <x v="331"/>
      <x v="149"/>
    </i>
    <i>
      <x v="332"/>
      <x v="155"/>
    </i>
    <i>
      <x v="333"/>
      <x v="87"/>
    </i>
    <i>
      <x v="334"/>
      <x v="115"/>
    </i>
    <i>
      <x v="335"/>
      <x v="141"/>
    </i>
    <i>
      <x v="336"/>
      <x v="72"/>
    </i>
    <i>
      <x v="337"/>
      <x v="42"/>
    </i>
    <i>
      <x v="338"/>
      <x v="16"/>
    </i>
    <i>
      <x v="339"/>
      <x v="2"/>
    </i>
    <i>
      <x v="340"/>
      <x v="76"/>
    </i>
    <i>
      <x v="341"/>
      <x v="41"/>
    </i>
    <i>
      <x v="342"/>
      <x v="135"/>
    </i>
    <i>
      <x v="343"/>
      <x v="118"/>
    </i>
    <i>
      <x v="344"/>
      <x v="65"/>
    </i>
    <i>
      <x v="345"/>
      <x v="125"/>
    </i>
    <i>
      <x v="346"/>
      <x v="43"/>
    </i>
    <i>
      <x v="347"/>
      <x v="54"/>
    </i>
    <i>
      <x v="348"/>
      <x v="148"/>
    </i>
    <i>
      <x v="349"/>
      <x v="30"/>
    </i>
    <i>
      <x v="350"/>
      <x v="82"/>
    </i>
    <i>
      <x v="351"/>
      <x v="81"/>
    </i>
    <i>
      <x v="352"/>
      <x v="129"/>
    </i>
    <i>
      <x v="353"/>
      <x v="8"/>
    </i>
    <i>
      <x v="354"/>
      <x v="37"/>
    </i>
    <i>
      <x v="355"/>
      <x v="154"/>
    </i>
    <i>
      <x v="356"/>
      <x v="123"/>
    </i>
    <i>
      <x v="357"/>
      <x v="75"/>
    </i>
    <i>
      <x v="358"/>
      <x v="95"/>
    </i>
    <i>
      <x v="359"/>
      <x v="57"/>
    </i>
    <i>
      <x v="360"/>
      <x v="61"/>
    </i>
    <i>
      <x v="361"/>
      <x v="84"/>
    </i>
    <i>
      <x v="362"/>
      <x v="112"/>
    </i>
    <i>
      <x v="363"/>
      <x v="151"/>
    </i>
    <i>
      <x v="364"/>
      <x v="149"/>
    </i>
    <i>
      <x v="365"/>
      <x v="155"/>
    </i>
    <i>
      <x v="366"/>
      <x v="52"/>
    </i>
    <i>
      <x v="367"/>
      <x v="87"/>
    </i>
    <i>
      <x v="368"/>
      <x v="152"/>
    </i>
    <i>
      <x v="369"/>
      <x v="115"/>
    </i>
    <i>
      <x v="370"/>
      <x v="70"/>
    </i>
    <i>
      <x v="371"/>
      <x v="63"/>
    </i>
    <i>
      <x v="372"/>
      <x v="72"/>
    </i>
    <i>
      <x v="373"/>
      <x v="42"/>
    </i>
    <i>
      <x v="374"/>
      <x v="16"/>
    </i>
    <i>
      <x v="375"/>
      <x v="2"/>
    </i>
    <i>
      <x v="376"/>
      <x v="41"/>
    </i>
    <i>
      <x v="377"/>
      <x v="135"/>
    </i>
    <i>
      <x v="378"/>
      <x v="118"/>
    </i>
    <i>
      <x v="379"/>
      <x v="65"/>
    </i>
    <i>
      <x v="380"/>
      <x v="43"/>
    </i>
    <i>
      <x v="381"/>
      <x v="148"/>
    </i>
    <i>
      <x v="382"/>
      <x v="82"/>
    </i>
    <i>
      <x v="383"/>
      <x v="81"/>
    </i>
    <i>
      <x v="384"/>
      <x v="129"/>
    </i>
    <i>
      <x v="385"/>
      <x v="37"/>
    </i>
    <i>
      <x v="386"/>
      <x v="154"/>
    </i>
    <i>
      <x v="387"/>
      <x v="75"/>
    </i>
    <i>
      <x v="388"/>
      <x v="57"/>
    </i>
    <i>
      <x v="389"/>
      <x v="61"/>
    </i>
    <i>
      <x v="390"/>
      <x v="112"/>
    </i>
    <i>
      <x v="391"/>
      <x v="67"/>
    </i>
    <i>
      <x v="392"/>
      <x v="151"/>
    </i>
    <i>
      <x v="393"/>
      <x v="155"/>
    </i>
    <i>
      <x v="394"/>
      <x v="87"/>
    </i>
    <i>
      <x v="395"/>
      <x v="36"/>
    </i>
    <i>
      <x v="396"/>
      <x v="121"/>
    </i>
    <i>
      <x v="397"/>
      <x v="113"/>
    </i>
    <i>
      <x v="398"/>
      <x v="72"/>
    </i>
    <i>
      <x v="399"/>
      <x v="16"/>
    </i>
    <i>
      <x v="400"/>
      <x v="2"/>
    </i>
    <i>
      <x v="401"/>
      <x v="48"/>
    </i>
    <i>
      <x v="402"/>
      <x v="41"/>
    </i>
    <i>
      <x v="403"/>
      <x v="135"/>
    </i>
    <i>
      <x v="404"/>
      <x v="118"/>
    </i>
    <i>
      <x v="405"/>
      <x v="65"/>
    </i>
    <i>
      <x v="406"/>
      <x v="148"/>
    </i>
    <i>
      <x v="407"/>
      <x v="82"/>
    </i>
    <i>
      <x v="408"/>
      <x v="146"/>
    </i>
    <i>
      <x v="409"/>
      <x v="154"/>
    </i>
    <i>
      <x v="410"/>
      <x v="75"/>
    </i>
    <i>
      <x v="411"/>
      <x v="57"/>
    </i>
    <i>
      <x v="412"/>
      <x v="61"/>
    </i>
    <i>
      <x v="413"/>
      <x v="62"/>
    </i>
    <i>
      <x v="414"/>
      <x v="151"/>
    </i>
    <i>
      <x v="415"/>
      <x v="155"/>
    </i>
    <i>
      <x v="416"/>
      <x v="64"/>
    </i>
    <i>
      <x v="417"/>
      <x v="157"/>
    </i>
    <i>
      <x v="418"/>
      <x v="28"/>
    </i>
    <i>
      <x v="419"/>
      <x v="138"/>
    </i>
    <i>
      <x v="420"/>
      <x v="113"/>
    </i>
    <i>
      <x v="421"/>
      <x v="16"/>
    </i>
    <i>
      <x v="422"/>
      <x v="48"/>
    </i>
    <i>
      <x v="423"/>
      <x v="41"/>
    </i>
    <i>
      <x v="424"/>
      <x v="135"/>
    </i>
    <i>
      <x v="425"/>
      <x v="118"/>
    </i>
    <i>
      <x v="426"/>
      <x v="65"/>
    </i>
    <i>
      <x v="427"/>
      <x v="43"/>
    </i>
    <i>
      <x v="428"/>
      <x v="148"/>
    </i>
    <i>
      <x v="429"/>
      <x v="37"/>
    </i>
    <i>
      <x v="430"/>
      <x v="154"/>
    </i>
    <i>
      <x v="431"/>
      <x v="75"/>
    </i>
    <i>
      <x v="432"/>
      <x v="95"/>
    </i>
    <i>
      <x v="433"/>
      <x v="61"/>
    </i>
    <i>
      <x v="434"/>
      <x v="84"/>
    </i>
    <i>
      <x v="435"/>
      <x v="151"/>
    </i>
    <i>
      <x v="436"/>
      <x v="155"/>
    </i>
    <i>
      <x v="437"/>
      <x v="99"/>
    </i>
    <i>
      <x v="438"/>
      <x v="72"/>
    </i>
    <i>
      <x v="439"/>
      <x v="42"/>
    </i>
    <i>
      <x v="440"/>
      <x v="16"/>
    </i>
    <i>
      <x v="441"/>
      <x v="2"/>
    </i>
    <i>
      <x v="442"/>
      <x v="76"/>
    </i>
    <i>
      <x v="443"/>
      <x v="104"/>
    </i>
    <i>
      <x v="444"/>
      <x v="41"/>
    </i>
    <i>
      <x v="445"/>
      <x v="131"/>
    </i>
    <i>
      <x v="446"/>
      <x v="135"/>
    </i>
    <i>
      <x v="447"/>
      <x v="118"/>
    </i>
    <i>
      <x v="448"/>
      <x v="65"/>
    </i>
    <i>
      <x v="449"/>
      <x v="125"/>
    </i>
    <i>
      <x v="450"/>
      <x v="54"/>
    </i>
    <i>
      <x v="451"/>
      <x v="148"/>
    </i>
    <i>
      <x v="452"/>
      <x v="98"/>
    </i>
    <i>
      <x v="453"/>
      <x v="114"/>
    </i>
    <i>
      <x v="454"/>
      <x v="82"/>
    </i>
    <i>
      <x v="455"/>
      <x v="37"/>
    </i>
    <i>
      <x v="456"/>
      <x v="154"/>
    </i>
    <i>
      <x v="457"/>
      <x v="120"/>
    </i>
    <i>
      <x v="458"/>
      <x v="75"/>
    </i>
    <i>
      <x v="459"/>
      <x v="57"/>
    </i>
    <i>
      <x v="460"/>
      <x v="61"/>
    </i>
    <i>
      <x v="461"/>
      <x v="151"/>
    </i>
    <i>
      <x v="462"/>
      <x v="100"/>
    </i>
    <i>
      <x v="463"/>
      <x v="155"/>
    </i>
    <i>
      <x v="464"/>
      <x v="157"/>
    </i>
    <i>
      <x v="465"/>
      <x v="138"/>
    </i>
    <i>
      <x v="466"/>
      <x v="70"/>
    </i>
    <i>
      <x v="467"/>
      <x v="39"/>
    </i>
    <i>
      <x v="468"/>
      <x v="72"/>
    </i>
    <i>
      <x v="469"/>
      <x v="42"/>
    </i>
    <i>
      <x v="470"/>
      <x v="16"/>
    </i>
    <i>
      <x v="471"/>
      <x v="2"/>
    </i>
    <i>
      <x v="472"/>
      <x v="41"/>
    </i>
    <i>
      <x v="473"/>
      <x v="135"/>
    </i>
    <i>
      <x v="474"/>
      <x v="118"/>
    </i>
    <i>
      <x v="475"/>
      <x v="65"/>
    </i>
    <i>
      <x v="476"/>
      <x v="125"/>
    </i>
    <i>
      <x v="477"/>
      <x v="43"/>
    </i>
    <i>
      <x v="478"/>
      <x v="54"/>
    </i>
    <i>
      <x v="479"/>
      <x v="148"/>
    </i>
    <i>
      <x v="480"/>
      <x v="82"/>
    </i>
    <i>
      <x v="481"/>
      <x v="81"/>
    </i>
    <i>
      <x v="482"/>
      <x v="37"/>
    </i>
    <i>
      <x v="483"/>
      <x v="140"/>
    </i>
    <i>
      <x v="484"/>
      <x v="154"/>
    </i>
    <i>
      <x v="485"/>
      <x v="123"/>
    </i>
    <i>
      <x v="486"/>
      <x v="120"/>
    </i>
    <i>
      <x v="487"/>
      <x v="75"/>
    </i>
    <i>
      <x v="488"/>
      <x v="95"/>
    </i>
    <i>
      <x v="489"/>
      <x v="122"/>
    </i>
    <i>
      <x v="490"/>
      <x v="58"/>
    </i>
    <i>
      <x v="491"/>
      <x v="61"/>
    </i>
    <i>
      <x v="492"/>
      <x v="84"/>
    </i>
    <i>
      <x v="493"/>
      <x v="151"/>
    </i>
    <i>
      <x v="494"/>
      <x v="149"/>
    </i>
    <i>
      <x v="495"/>
      <x v="100"/>
    </i>
    <i>
      <x v="496"/>
      <x v="155"/>
    </i>
    <i>
      <x v="497"/>
      <x v="32"/>
    </i>
    <i>
      <x v="498"/>
      <x v="113"/>
    </i>
    <i>
      <x v="499"/>
      <x v="72"/>
    </i>
    <i>
      <x v="500"/>
      <x v="42"/>
    </i>
    <i>
      <x v="501"/>
      <x v="16"/>
    </i>
    <i>
      <x v="502"/>
      <x v="2"/>
    </i>
    <i>
      <x v="503"/>
      <x v="41"/>
    </i>
    <i>
      <x v="504"/>
      <x v="135"/>
    </i>
    <i>
      <x v="505"/>
      <x v="118"/>
    </i>
    <i>
      <x v="506"/>
      <x v="65"/>
    </i>
    <i>
      <x v="507"/>
      <x v="125"/>
    </i>
    <i>
      <x v="508"/>
      <x v="43"/>
    </i>
    <i>
      <x v="509"/>
      <x v="148"/>
    </i>
    <i>
      <x v="510"/>
      <x v="98"/>
    </i>
    <i>
      <x v="511"/>
      <x v="114"/>
    </i>
    <i>
      <x v="512"/>
      <x v="30"/>
    </i>
    <i>
      <x v="513"/>
      <x v="82"/>
    </i>
    <i>
      <x v="514"/>
      <x v="146"/>
    </i>
    <i>
      <x v="515"/>
      <x v="37"/>
    </i>
    <i>
      <x v="516"/>
      <x v="154"/>
    </i>
    <i>
      <x v="517"/>
      <x v="75"/>
    </i>
    <i>
      <x v="518"/>
      <x v="60"/>
    </i>
    <i>
      <x v="519"/>
      <x v="61"/>
    </i>
    <i>
      <x v="520"/>
      <x v="84"/>
    </i>
    <i>
      <x v="521"/>
      <x v="151"/>
    </i>
    <i>
      <x v="522"/>
      <x v="149"/>
    </i>
    <i>
      <x v="523"/>
      <x v="64"/>
    </i>
    <i>
      <x v="524"/>
      <x v="52"/>
    </i>
    <i>
      <x v="525"/>
      <x v="71"/>
    </i>
    <i>
      <x v="526"/>
      <x v="157"/>
    </i>
    <i>
      <x v="527"/>
      <x v="113"/>
    </i>
    <i>
      <x v="528"/>
      <x v="72"/>
    </i>
    <i>
      <x v="529"/>
      <x v="16"/>
    </i>
    <i>
      <x v="530"/>
      <x v="76"/>
    </i>
    <i>
      <x v="531"/>
      <x v="41"/>
    </i>
    <i>
      <x v="532"/>
      <x v="135"/>
    </i>
    <i>
      <x v="533"/>
      <x v="118"/>
    </i>
    <i>
      <x v="534"/>
      <x v="65"/>
    </i>
    <i>
      <x v="535"/>
      <x v="142"/>
    </i>
    <i>
      <x v="536"/>
      <x v="125"/>
    </i>
    <i>
      <x v="537"/>
      <x v="43"/>
    </i>
    <i>
      <x v="538"/>
      <x v="148"/>
    </i>
    <i>
      <x v="539"/>
      <x v="81"/>
    </i>
    <i>
      <x v="540"/>
      <x v="37"/>
    </i>
    <i>
      <x v="541"/>
      <x v="75"/>
    </i>
    <i>
      <x v="542"/>
      <x v="95"/>
    </i>
    <i>
      <x v="543"/>
      <x v="57"/>
    </i>
    <i>
      <x v="544"/>
      <x v="149"/>
    </i>
    <i>
      <x v="545"/>
      <x v="72"/>
    </i>
    <i>
      <x v="546"/>
      <x v="42"/>
    </i>
    <i>
      <x v="547"/>
      <x v="16"/>
    </i>
    <i>
      <x v="548"/>
      <x v="2"/>
    </i>
    <i>
      <x v="549"/>
      <x v="41"/>
    </i>
    <i>
      <x v="550"/>
      <x v="135"/>
    </i>
    <i>
      <x v="551"/>
      <x v="118"/>
    </i>
    <i>
      <x v="552"/>
      <x v="65"/>
    </i>
    <i>
      <x v="553"/>
      <x v="142"/>
    </i>
    <i>
      <x v="554"/>
      <x v="54"/>
    </i>
    <i>
      <x v="555"/>
      <x v="148"/>
    </i>
    <i>
      <x v="556"/>
      <x v="82"/>
    </i>
    <i>
      <x v="557"/>
      <x v="146"/>
    </i>
    <i>
      <x v="558"/>
      <x v="8"/>
    </i>
    <i>
      <x v="559"/>
      <x v="154"/>
    </i>
    <i>
      <x v="560"/>
      <x v="75"/>
    </i>
    <i>
      <x v="561"/>
      <x v="61"/>
    </i>
    <i>
      <x v="562"/>
      <x v="62"/>
    </i>
    <i>
      <x v="563"/>
      <x v="151"/>
    </i>
    <i>
      <x v="564"/>
      <x v="149"/>
    </i>
    <i>
      <x v="565"/>
      <x v="155"/>
    </i>
    <i>
      <x v="566"/>
      <x v="64"/>
    </i>
    <i>
      <x v="567"/>
      <x v="157"/>
    </i>
    <i>
      <x v="568"/>
      <x v="72"/>
    </i>
    <i>
      <x v="569"/>
      <x v="42"/>
    </i>
    <i>
      <x v="570"/>
      <x v="16"/>
    </i>
    <i>
      <x v="571"/>
      <x v="2"/>
    </i>
    <i>
      <x v="572"/>
      <x v="41"/>
    </i>
    <i>
      <x v="573"/>
      <x v="135"/>
    </i>
    <i>
      <x v="574"/>
      <x v="118"/>
    </i>
    <i>
      <x v="575"/>
      <x v="65"/>
    </i>
    <i>
      <x v="576"/>
      <x v="125"/>
    </i>
    <i>
      <x v="577"/>
      <x v="148"/>
    </i>
    <i>
      <x v="578"/>
      <x v="82"/>
    </i>
    <i>
      <x v="579"/>
      <x v="129"/>
    </i>
    <i>
      <x v="580"/>
      <x v="154"/>
    </i>
    <i>
      <x v="581"/>
      <x v="75"/>
    </i>
    <i>
      <x v="582"/>
      <x v="62"/>
    </i>
    <i>
      <x v="583"/>
      <x v="151"/>
    </i>
    <i>
      <x v="584"/>
      <x v="149"/>
    </i>
    <i>
      <x v="585"/>
      <x v="155"/>
    </i>
    <i>
      <x v="586"/>
      <x v="64"/>
    </i>
    <i>
      <x v="587"/>
      <x v="68"/>
    </i>
    <i>
      <x v="588"/>
      <x v="157"/>
    </i>
    <i>
      <x v="589"/>
      <x v="72"/>
    </i>
    <i>
      <x v="590"/>
      <x v="42"/>
    </i>
    <i>
      <x v="591"/>
      <x v="16"/>
    </i>
    <i>
      <x v="592"/>
      <x v="41"/>
    </i>
    <i>
      <x v="593"/>
      <x v="135"/>
    </i>
    <i>
      <x v="594"/>
      <x v="118"/>
    </i>
    <i>
      <x v="595"/>
      <x v="65"/>
    </i>
    <i>
      <x v="596"/>
      <x v="148"/>
    </i>
    <i>
      <x v="597"/>
      <x v="98"/>
    </i>
    <i>
      <x v="598"/>
      <x v="82"/>
    </i>
    <i>
      <x v="599"/>
      <x v="81"/>
    </i>
    <i>
      <x v="600"/>
      <x v="37"/>
    </i>
    <i>
      <x v="601"/>
      <x v="154"/>
    </i>
    <i>
      <x v="602"/>
      <x v="75"/>
    </i>
    <i>
      <x v="603"/>
      <x v="62"/>
    </i>
    <i>
      <x v="604"/>
      <x v="151"/>
    </i>
    <i>
      <x v="605"/>
      <x v="155"/>
    </i>
    <i>
      <x v="606"/>
      <x v="28"/>
    </i>
    <i>
      <x v="607"/>
      <x v="69"/>
    </i>
    <i>
      <x v="608"/>
      <x v="132"/>
    </i>
    <i>
      <x v="609"/>
      <x v="53"/>
    </i>
    <i>
      <x v="610"/>
      <x v="113"/>
    </i>
    <i>
      <x v="611"/>
      <x v="72"/>
    </i>
    <i>
      <x v="612"/>
      <x v="16"/>
    </i>
    <i>
      <x v="613"/>
      <x v="48"/>
    </i>
    <i>
      <x v="614"/>
      <x v="104"/>
    </i>
    <i>
      <x v="615"/>
      <x v="16"/>
    </i>
    <i>
      <x v="616"/>
      <x v="48"/>
    </i>
    <i>
      <x v="617"/>
      <x v="41"/>
    </i>
    <i>
      <x v="618"/>
      <x v="125"/>
    </i>
    <i>
      <x v="619"/>
      <x v="138"/>
    </i>
    <i>
      <x v="620"/>
      <x v="16"/>
    </i>
    <i>
      <x v="621"/>
      <x v="48"/>
    </i>
    <i>
      <x v="622"/>
      <x v="41"/>
    </i>
    <i>
      <x v="623"/>
      <x v="43"/>
    </i>
    <i>
      <x v="624"/>
      <x v="151"/>
    </i>
    <i>
      <x v="625"/>
      <x v="72"/>
    </i>
    <i>
      <x v="626"/>
      <x v="42"/>
    </i>
    <i>
      <x v="627"/>
      <x v="16"/>
    </i>
    <i>
      <x v="628"/>
      <x v="2"/>
    </i>
    <i>
      <x v="629"/>
      <x v="41"/>
    </i>
    <i>
      <x v="630"/>
      <x v="135"/>
    </i>
    <i>
      <x v="631"/>
      <x v="118"/>
    </i>
    <i>
      <x v="632"/>
      <x v="65"/>
    </i>
    <i>
      <x v="633"/>
      <x v="148"/>
    </i>
    <i>
      <x v="634"/>
      <x v="82"/>
    </i>
    <i>
      <x v="635"/>
      <x v="75"/>
    </i>
    <i>
      <x v="636"/>
      <x v="72"/>
    </i>
    <i>
      <x v="637"/>
      <x v="16"/>
    </i>
    <i>
      <x v="638"/>
      <x v="48"/>
    </i>
    <i>
      <x v="639"/>
      <x v="41"/>
    </i>
    <i>
      <x v="640"/>
      <x v="135"/>
    </i>
    <i>
      <x v="641"/>
      <x v="118"/>
    </i>
    <i>
      <x v="642"/>
      <x v="65"/>
    </i>
    <i>
      <x v="643"/>
      <x v="75"/>
    </i>
    <i>
      <x v="644"/>
      <x v="151"/>
    </i>
    <i>
      <x v="645"/>
      <x v="72"/>
    </i>
    <i>
      <x v="646"/>
      <x v="42"/>
    </i>
    <i>
      <x v="647"/>
      <x v="16"/>
    </i>
    <i>
      <x v="648"/>
      <x v="41"/>
    </i>
    <i>
      <x v="649"/>
      <x v="135"/>
    </i>
    <i>
      <x v="650"/>
      <x v="118"/>
    </i>
    <i>
      <x v="651"/>
      <x v="65"/>
    </i>
    <i>
      <x v="652"/>
      <x v="148"/>
    </i>
    <i>
      <x v="653"/>
      <x v="82"/>
    </i>
    <i>
      <x v="654"/>
      <x v="140"/>
    </i>
    <i>
      <x v="655"/>
      <x v="151"/>
    </i>
    <i>
      <x v="656"/>
      <x v="149"/>
    </i>
    <i>
      <x v="657"/>
      <x v="138"/>
    </i>
    <i>
      <x v="658"/>
      <x v="72"/>
    </i>
    <i>
      <x v="659"/>
      <x v="16"/>
    </i>
    <i>
      <x v="660"/>
      <x v="48"/>
    </i>
    <i>
      <x v="661"/>
      <x v="41"/>
    </i>
    <i>
      <x v="662"/>
      <x v="135"/>
    </i>
    <i>
      <x v="663"/>
      <x v="118"/>
    </i>
    <i>
      <x v="664"/>
      <x v="54"/>
    </i>
    <i>
      <x v="665"/>
      <x v="148"/>
    </i>
    <i>
      <x v="666"/>
      <x v="112"/>
    </i>
    <i>
      <x v="667"/>
      <x v="151"/>
    </i>
    <i>
      <x v="668"/>
      <x v="16"/>
    </i>
    <i>
      <x v="669"/>
      <x v="48"/>
    </i>
    <i>
      <x v="670"/>
      <x v="41"/>
    </i>
    <i>
      <x v="671"/>
      <x v="142"/>
    </i>
    <i>
      <x v="672"/>
      <x v="151"/>
    </i>
    <i>
      <x v="673"/>
      <x v="155"/>
    </i>
    <i>
      <x v="674"/>
      <x v="157"/>
    </i>
    <i>
      <x v="675"/>
      <x v="16"/>
    </i>
    <i>
      <x v="676"/>
      <x v="48"/>
    </i>
    <i>
      <x v="677"/>
      <x v="41"/>
    </i>
    <i>
      <x v="678"/>
      <x v="125"/>
    </i>
    <i>
      <x v="679"/>
      <x v="148"/>
    </i>
    <i>
      <x v="680"/>
      <x v="82"/>
    </i>
    <i>
      <x v="681"/>
      <x v="81"/>
    </i>
    <i>
      <x v="682"/>
      <x v="57"/>
    </i>
    <i>
      <x v="683"/>
      <x v="64"/>
    </i>
    <i>
      <x v="684"/>
      <x v="42"/>
    </i>
    <i>
      <x v="685"/>
      <x v="16"/>
    </i>
    <i>
      <x v="686"/>
      <x v="41"/>
    </i>
    <i>
      <x v="687"/>
      <x v="64"/>
    </i>
    <i>
      <x v="688"/>
      <x v="109"/>
    </i>
    <i>
      <x v="689"/>
      <x v="113"/>
    </i>
    <i>
      <x v="690"/>
      <x v="16"/>
    </i>
    <i>
      <x v="691"/>
      <x v="2"/>
    </i>
    <i>
      <x v="692"/>
      <x v="104"/>
    </i>
    <i>
      <x v="693"/>
      <x v="105"/>
    </i>
    <i>
      <x v="694"/>
      <x v="124"/>
    </i>
    <i>
      <x v="695"/>
      <x v="135"/>
    </i>
    <i>
      <x v="696"/>
      <x v="118"/>
    </i>
    <i>
      <x v="697"/>
      <x v="65"/>
    </i>
    <i>
      <x v="698"/>
      <x v="142"/>
    </i>
    <i>
      <x v="699"/>
      <x v="125"/>
    </i>
    <i>
      <x v="700"/>
      <x v="148"/>
    </i>
    <i>
      <x v="701"/>
      <x v="98"/>
    </i>
    <i>
      <x v="702"/>
      <x v="81"/>
    </i>
    <i>
      <x v="703"/>
      <x v="146"/>
    </i>
    <i>
      <x v="704"/>
      <x v="37"/>
    </i>
    <i>
      <x v="705"/>
      <x v="140"/>
    </i>
    <i>
      <x v="706"/>
      <x v="154"/>
    </i>
    <i>
      <x v="707"/>
      <x v="75"/>
    </i>
    <i>
      <x v="708"/>
      <x v="128"/>
    </i>
    <i>
      <x v="709"/>
      <x v="77"/>
    </i>
    <i>
      <x v="710"/>
      <x v="122"/>
    </i>
    <i>
      <x v="711"/>
      <x v="57"/>
    </i>
    <i>
      <x v="712"/>
      <x v="60"/>
    </i>
    <i>
      <x v="713"/>
      <x v="61"/>
    </i>
    <i>
      <x v="714"/>
      <x v="62"/>
    </i>
    <i>
      <x v="715"/>
      <x v="91"/>
    </i>
    <i>
      <x v="716"/>
      <x v="151"/>
    </i>
    <i>
      <x v="717"/>
      <x v="149"/>
    </i>
    <i>
      <x v="718"/>
      <x v="100"/>
    </i>
    <i>
      <x v="719"/>
      <x v="155"/>
    </i>
    <i>
      <x v="720"/>
      <x v="51"/>
    </i>
    <i>
      <x v="721"/>
      <x v="64"/>
    </i>
    <i>
      <x v="722"/>
      <x v="52"/>
    </i>
    <i>
      <x v="723"/>
      <x v="68"/>
    </i>
    <i>
      <x v="724"/>
      <x v="33"/>
    </i>
    <i>
      <x v="725"/>
      <x v="152"/>
    </i>
    <i>
      <x v="726"/>
      <x v="47"/>
    </i>
    <i>
      <x v="727"/>
      <x v="97"/>
    </i>
    <i>
      <x v="728"/>
      <x v="157"/>
    </i>
    <i>
      <x v="729"/>
      <x v="99"/>
    </i>
    <i>
      <x v="730"/>
      <x v="55"/>
    </i>
    <i>
      <x v="731"/>
      <x v="139"/>
    </i>
    <i>
      <x v="732"/>
      <x v="150"/>
    </i>
    <i>
      <x v="733"/>
      <x v="29"/>
    </i>
    <i>
      <x v="734"/>
      <x v="92"/>
    </i>
    <i>
      <x v="735"/>
      <x v="137"/>
    </i>
    <i>
      <x v="736"/>
      <x v="69"/>
    </i>
    <i>
      <x v="737"/>
      <x v="132"/>
    </i>
    <i>
      <x v="738"/>
      <x v="138"/>
    </i>
    <i>
      <x v="739"/>
      <x v="70"/>
    </i>
    <i>
      <x v="740"/>
      <x v="39"/>
    </i>
    <i>
      <x v="741"/>
      <x v="89"/>
    </i>
    <i>
      <x v="742"/>
      <x v="121"/>
    </i>
    <i>
      <x v="743"/>
      <x v="38"/>
    </i>
    <i>
      <x v="744"/>
      <x v="104"/>
    </i>
    <i>
      <x v="745"/>
      <x v="135"/>
    </i>
    <i>
      <x v="746"/>
      <x v="88"/>
    </i>
    <i>
      <x v="747"/>
      <x v="90"/>
    </i>
    <i>
      <x v="748"/>
      <x v="12"/>
    </i>
    <i>
      <x v="749"/>
      <x v="57"/>
    </i>
    <i>
      <x v="750"/>
      <x v="156"/>
    </i>
    <i>
      <x v="751"/>
      <x v="134"/>
    </i>
    <i>
      <x v="752"/>
      <x v="94"/>
    </i>
    <i>
      <x v="753"/>
      <x v="40"/>
    </i>
    <i>
      <x v="754"/>
      <x v="146"/>
    </i>
    <i>
      <x v="755"/>
      <x v="11"/>
    </i>
    <i>
      <x v="756"/>
      <x v="13"/>
    </i>
    <i>
      <x v="757"/>
      <x v="145"/>
    </i>
    <i>
      <x v="758"/>
      <x v="144"/>
    </i>
    <i>
      <x v="759"/>
      <x v="104"/>
    </i>
    <i>
      <x v="760"/>
      <x v="79"/>
    </i>
    <i>
      <x v="761"/>
      <x v="124"/>
    </i>
    <i>
      <x v="762"/>
      <x v="122"/>
    </i>
    <i>
      <x v="763"/>
      <x v="93"/>
    </i>
    <i>
      <x v="764"/>
      <x v="49"/>
    </i>
    <i>
      <x v="765"/>
      <x v="16"/>
    </i>
    <i>
      <x v="766"/>
      <x v="7"/>
    </i>
    <i>
      <x v="767"/>
      <x v="103"/>
    </i>
    <i>
      <x v="768"/>
      <x v="108"/>
    </i>
    <i>
      <x v="769"/>
      <x v="106"/>
    </i>
    <i>
      <x v="770"/>
      <x v="107"/>
    </i>
    <i>
      <x v="771"/>
      <x v="86"/>
    </i>
    <i>
      <x v="772"/>
      <x v="85"/>
    </i>
    <i>
      <x v="773"/>
      <x v="104"/>
    </i>
    <i>
      <x v="774"/>
      <x v="79"/>
    </i>
    <i>
      <x v="775"/>
      <x v="124"/>
    </i>
    <i>
      <x v="776"/>
      <x v="135"/>
    </i>
    <i>
      <x v="777"/>
      <x v="1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ld TB" fld="2" baseField="0" baseItem="0"/>
    <dataField name="Sum of New TB" fld="3" baseField="0" baseItem="0"/>
  </dataFields>
  <formats count="1606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-2" type="button" dataOnly="0" labelOnly="1" outline="0" fieldPosition="0"/>
    </format>
    <format dxfId="4">
      <pivotArea type="topRight" dataOnly="0" labelOnly="1" outline="0" fieldPosition="0"/>
    </format>
    <format dxfId="5">
      <pivotArea field="0" type="button" dataOnly="0" labelOnly="1" outline="0" fieldPosition="0"/>
    </format>
    <format dxfId="6">
      <pivotArea field="1" type="button" dataOnly="0" labelOnly="1" outline="0" fieldPosition="0"/>
    </format>
    <format dxfId="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5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7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9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0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1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2">
      <pivotArea dataOnly="0" labelOnly="1" outline="0" fieldPosition="0">
        <references count="1">
          <reference field="0" count="28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</reference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2">
          <reference field="0" count="1" selected="0">
            <x v="0"/>
          </reference>
          <reference field="1" count="1">
            <x v="2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"/>
          </reference>
          <reference field="1" count="1">
            <x v="20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1" count="1">
            <x v="22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1">
            <x v="18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1">
            <x v="21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6"/>
          </reference>
          <reference field="1" count="1">
            <x v="25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7"/>
          </reference>
          <reference field="1" count="1">
            <x v="1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8"/>
          </reference>
          <reference field="1" count="1">
            <x v="23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9"/>
          </reference>
          <reference field="1" count="1">
            <x v="16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0"/>
          </reference>
          <reference field="1" count="1">
            <x v="2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1"/>
          </reference>
          <reference field="1" count="1">
            <x v="117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2"/>
          </reference>
          <reference field="1" count="1">
            <x v="2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3"/>
          </reference>
          <reference field="1" count="1">
            <x v="46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4"/>
          </reference>
          <reference field="1" count="1">
            <x v="15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5"/>
          </reference>
          <reference field="1" count="1">
            <x v="5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6"/>
          </reference>
          <reference field="1" count="1">
            <x v="6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7"/>
          </reference>
          <reference field="1" count="1">
            <x v="3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8"/>
          </reference>
          <reference field="1" count="1">
            <x v="76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9"/>
          </reference>
          <reference field="1" count="1">
            <x v="34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20"/>
          </reference>
          <reference field="1" count="1">
            <x v="80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21"/>
          </reference>
          <reference field="1" count="1">
            <x v="10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22"/>
          </reference>
          <reference field="1" count="1">
            <x v="10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23"/>
          </reference>
          <reference field="1" count="1">
            <x v="15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24"/>
          </reference>
          <reference field="1" count="1">
            <x v="35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25"/>
          </reference>
          <reference field="1" count="1">
            <x v="4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27"/>
          </reference>
          <reference field="1" count="1">
            <x v="127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28"/>
          </reference>
          <reference field="1" count="1">
            <x v="7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29"/>
          </reference>
          <reference field="1" count="1">
            <x v="78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30"/>
          </reference>
          <reference field="1" count="1">
            <x v="50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31"/>
          </reference>
          <reference field="1" count="1">
            <x v="0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32"/>
          </reference>
          <reference field="1" count="1">
            <x v="4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33"/>
          </reference>
          <reference field="1" count="1">
            <x v="116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34"/>
          </reference>
          <reference field="1" count="1">
            <x v="136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35"/>
          </reference>
          <reference field="1" count="1">
            <x v="14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36"/>
          </reference>
          <reference field="1" count="1">
            <x v="111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37"/>
          </reference>
          <reference field="1" count="1">
            <x v="130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38"/>
          </reference>
          <reference field="1" count="1">
            <x v="110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39"/>
          </reference>
          <reference field="1" count="1">
            <x v="131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40"/>
          </reference>
          <reference field="1" count="1">
            <x v="143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41"/>
          </reference>
          <reference field="1" count="1">
            <x v="133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42"/>
          </reference>
          <reference field="1" count="1">
            <x v="56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43"/>
          </reference>
          <reference field="1" count="1">
            <x v="141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44"/>
          </reference>
          <reference field="1" count="1">
            <x v="124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46"/>
          </reference>
          <reference field="1" count="1">
            <x v="135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47"/>
          </reference>
          <reference field="1" count="1">
            <x v="118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48"/>
          </reference>
          <reference field="1" count="1">
            <x v="65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49"/>
          </reference>
          <reference field="1" count="1">
            <x v="142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50"/>
          </reference>
          <reference field="1" count="1">
            <x v="125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51"/>
          </reference>
          <reference field="1" count="1">
            <x v="43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52"/>
          </reference>
          <reference field="1" count="1">
            <x v="9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53"/>
          </reference>
          <reference field="1" count="1">
            <x v="54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54"/>
          </reference>
          <reference field="1" count="1">
            <x v="119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55"/>
          </reference>
          <reference field="1" count="1">
            <x v="148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56"/>
          </reference>
          <reference field="1" count="1">
            <x v="82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57"/>
          </reference>
          <reference field="1" count="1">
            <x v="81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58"/>
          </reference>
          <reference field="1" count="1">
            <x v="83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59"/>
          </reference>
          <reference field="1" count="1">
            <x v="146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60"/>
          </reference>
          <reference field="1" count="1">
            <x v="129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61"/>
          </reference>
          <reference field="1" count="1">
            <x v="8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62"/>
          </reference>
          <reference field="1" count="1">
            <x v="37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63"/>
          </reference>
          <reference field="1" count="1">
            <x v="140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64"/>
          </reference>
          <reference field="1" count="1">
            <x v="154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65"/>
          </reference>
          <reference field="1" count="1">
            <x v="123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66"/>
          </reference>
          <reference field="1" count="1">
            <x v="120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67"/>
          </reference>
          <reference field="1" count="1">
            <x v="75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68"/>
          </reference>
          <reference field="1" count="1">
            <x v="128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69"/>
          </reference>
          <reference field="1" count="1">
            <x v="101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70"/>
          </reference>
          <reference field="1" count="1">
            <x v="77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71"/>
          </reference>
          <reference field="1" count="1">
            <x v="122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72"/>
          </reference>
          <reference field="1" count="1">
            <x v="57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73"/>
          </reference>
          <reference field="1" count="1">
            <x v="59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74"/>
          </reference>
          <reference field="1" count="1">
            <x v="61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75"/>
          </reference>
          <reference field="1" count="1">
            <x v="84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76"/>
          </reference>
          <reference field="1" count="1">
            <x v="91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77"/>
          </reference>
          <reference field="1" count="1">
            <x v="112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78"/>
          </reference>
          <reference field="1" count="1">
            <x v="151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79"/>
          </reference>
          <reference field="1" count="1">
            <x v="149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80"/>
          </reference>
          <reference field="1" count="1">
            <x v="155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81"/>
          </reference>
          <reference field="1" count="1">
            <x v="102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82"/>
          </reference>
          <reference field="1" count="1">
            <x v="66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83"/>
          </reference>
          <reference field="1" count="1">
            <x v="64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84"/>
          </reference>
          <reference field="1" count="1">
            <x v="52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85"/>
          </reference>
          <reference field="1" count="1">
            <x v="68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86"/>
          </reference>
          <reference field="1" count="1">
            <x v="33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87"/>
          </reference>
          <reference field="1" count="1">
            <x v="47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88"/>
          </reference>
          <reference field="1" count="1">
            <x v="115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89"/>
          </reference>
          <reference field="1" count="1">
            <x v="157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90"/>
          </reference>
          <reference field="1" count="1">
            <x v="141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91"/>
          </reference>
          <reference field="1" count="1">
            <x v="99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92"/>
          </reference>
          <reference field="1" count="1">
            <x v="139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93"/>
          </reference>
          <reference field="1" count="1">
            <x v="150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94"/>
          </reference>
          <reference field="1" count="1">
            <x v="27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95"/>
          </reference>
          <reference field="1" count="1">
            <x v="28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96"/>
          </reference>
          <reference field="1" count="1">
            <x v="2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97"/>
          </reference>
          <reference field="1" count="1">
            <x v="73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98"/>
          </reference>
          <reference field="1" count="1">
            <x v="137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99"/>
          </reference>
          <reference field="1" count="1">
            <x v="69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00"/>
          </reference>
          <reference field="1" count="1">
            <x v="138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01"/>
          </reference>
          <reference field="1" count="1">
            <x v="70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02"/>
          </reference>
          <reference field="1" count="1">
            <x v="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03"/>
          </reference>
          <reference field="1" count="1">
            <x v="53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04"/>
          </reference>
          <reference field="1" count="1">
            <x v="9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05"/>
          </reference>
          <reference field="1" count="1">
            <x v="16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06"/>
          </reference>
          <reference field="1" count="1">
            <x v="2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07"/>
          </reference>
          <reference field="1" count="1">
            <x v="48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08"/>
          </reference>
          <reference field="1" count="1">
            <x v="41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09"/>
          </reference>
          <reference field="1" count="1">
            <x v="135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10"/>
          </reference>
          <reference field="1" count="1">
            <x v="118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11"/>
          </reference>
          <reference field="1" count="1">
            <x v="65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112"/>
          </reference>
          <reference field="1" count="1">
            <x v="142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13"/>
          </reference>
          <reference field="1" count="1">
            <x v="125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14"/>
          </reference>
          <reference field="1" count="1">
            <x v="43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15"/>
          </reference>
          <reference field="1" count="1">
            <x v="54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16"/>
          </reference>
          <reference field="1" count="1">
            <x v="148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17"/>
          </reference>
          <reference field="1" count="1">
            <x v="82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18"/>
          </reference>
          <reference field="1" count="1">
            <x v="8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19"/>
          </reference>
          <reference field="1" count="1">
            <x v="37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20"/>
          </reference>
          <reference field="1" count="1">
            <x v="140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21"/>
          </reference>
          <reference field="1" count="1">
            <x v="154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22"/>
          </reference>
          <reference field="1" count="1">
            <x v="123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23"/>
          </reference>
          <reference field="1" count="1">
            <x v="120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24"/>
          </reference>
          <reference field="1" count="1">
            <x v="75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25"/>
          </reference>
          <reference field="1" count="1">
            <x v="95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126"/>
          </reference>
          <reference field="1" count="1">
            <x v="5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27"/>
          </reference>
          <reference field="1" count="1">
            <x v="60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28"/>
          </reference>
          <reference field="1" count="1">
            <x v="6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129"/>
          </reference>
          <reference field="1" count="1">
            <x v="84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30"/>
          </reference>
          <reference field="1" count="1">
            <x v="91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131"/>
          </reference>
          <reference field="1" count="1">
            <x v="11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32"/>
          </reference>
          <reference field="1" count="1">
            <x v="151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33"/>
          </reference>
          <reference field="1" count="1">
            <x v="149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34"/>
          </reference>
          <reference field="1" count="1">
            <x v="100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35"/>
          </reference>
          <reference field="1" count="1">
            <x v="155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36"/>
          </reference>
          <reference field="1" count="1">
            <x v="66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37"/>
          </reference>
          <reference field="1" count="1">
            <x v="64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38"/>
          </reference>
          <reference field="1" count="1">
            <x v="5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39"/>
          </reference>
          <reference field="1" count="1">
            <x v="87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40"/>
          </reference>
          <reference field="1" count="1">
            <x v="33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41"/>
          </reference>
          <reference field="1" count="1">
            <x v="157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42"/>
          </reference>
          <reference field="1" count="1">
            <x v="55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43"/>
          </reference>
          <reference field="1" count="1">
            <x v="29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44"/>
          </reference>
          <reference field="1" count="1">
            <x v="137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45"/>
          </reference>
          <reference field="1" count="1">
            <x v="69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46"/>
          </reference>
          <reference field="1" count="1">
            <x v="72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47"/>
          </reference>
          <reference field="1" count="1">
            <x v="4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48"/>
          </reference>
          <reference field="1" count="1">
            <x v="16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49"/>
          </reference>
          <reference field="1" count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50"/>
          </reference>
          <reference field="1" count="1">
            <x v="41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51"/>
          </reference>
          <reference field="1" count="1">
            <x v="135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52"/>
          </reference>
          <reference field="1" count="1">
            <x v="118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153"/>
          </reference>
          <reference field="1" count="1">
            <x v="125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154"/>
          </reference>
          <reference field="1" count="1">
            <x v="54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55"/>
          </reference>
          <reference field="1" count="1">
            <x v="148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56"/>
          </reference>
          <reference field="1" count="1">
            <x v="30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157"/>
          </reference>
          <reference field="1" count="1">
            <x v="146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58"/>
          </reference>
          <reference field="1" count="1">
            <x v="129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59"/>
          </reference>
          <reference field="1" count="1">
            <x v="149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60"/>
          </reference>
          <reference field="1" count="1">
            <x v="16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61"/>
          </reference>
          <reference field="1" count="1">
            <x v="2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62"/>
          </reference>
          <reference field="1" count="1">
            <x v="48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63"/>
          </reference>
          <reference field="1" count="1">
            <x v="41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64"/>
          </reference>
          <reference field="1" count="1">
            <x v="55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65"/>
          </reference>
          <reference field="1" count="1">
            <x v="72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66"/>
          </reference>
          <reference field="1" count="1">
            <x v="16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167"/>
          </reference>
          <reference field="1" count="1">
            <x v="2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68"/>
          </reference>
          <reference field="1" count="1">
            <x v="48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69"/>
          </reference>
          <reference field="1" count="1">
            <x v="41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70"/>
          </reference>
          <reference field="1" count="1">
            <x v="126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71"/>
          </reference>
          <reference field="1" count="1">
            <x v="135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72"/>
          </reference>
          <reference field="1" count="1">
            <x v="118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73"/>
          </reference>
          <reference field="1" count="1">
            <x v="65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74"/>
          </reference>
          <reference field="1" count="1">
            <x v="142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75"/>
          </reference>
          <reference field="1" count="1">
            <x v="148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76"/>
          </reference>
          <reference field="1" count="1">
            <x v="98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77"/>
          </reference>
          <reference field="1" count="1">
            <x v="30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78"/>
          </reference>
          <reference field="1" count="1">
            <x v="31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79"/>
          </reference>
          <reference field="1" count="1">
            <x v="75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80"/>
          </reference>
          <reference field="1" count="1">
            <x v="61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81"/>
          </reference>
          <reference field="1" count="1">
            <x v="112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82"/>
          </reference>
          <reference field="1" count="1">
            <x v="151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83"/>
          </reference>
          <reference field="1" count="1">
            <x v="149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84"/>
          </reference>
          <reference field="1" count="1">
            <x v="155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85"/>
          </reference>
          <reference field="1" count="1">
            <x v="64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86"/>
          </reference>
          <reference field="1" count="1">
            <x v="52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87"/>
          </reference>
          <reference field="1" count="1">
            <x v="42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88"/>
          </reference>
          <reference field="1" count="1">
            <x v="16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89"/>
          </reference>
          <reference field="1" count="1">
            <x v="41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90"/>
          </reference>
          <reference field="1" count="1">
            <x v="135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91"/>
          </reference>
          <reference field="1" count="1">
            <x v="118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92"/>
          </reference>
          <reference field="1" count="1">
            <x v="65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93"/>
          </reference>
          <reference field="1" count="1">
            <x v="148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94"/>
          </reference>
          <reference field="1" count="1">
            <x v="37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95"/>
          </reference>
          <reference field="1" count="1">
            <x v="154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96"/>
          </reference>
          <reference field="1" count="1">
            <x v="75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97"/>
          </reference>
          <reference field="1" count="1">
            <x v="72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98"/>
          </reference>
          <reference field="1" count="1">
            <x v="42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99"/>
          </reference>
          <reference field="1" count="1">
            <x v="16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200"/>
          </reference>
          <reference field="1" count="1">
            <x v="2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201"/>
          </reference>
          <reference field="1" count="1">
            <x v="41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202"/>
          </reference>
          <reference field="1" count="1">
            <x v="135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203"/>
          </reference>
          <reference field="1" count="1">
            <x v="118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204"/>
          </reference>
          <reference field="1" count="1">
            <x v="65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205"/>
          </reference>
          <reference field="1" count="1">
            <x v="148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206"/>
          </reference>
          <reference field="1" count="1">
            <x v="82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207"/>
          </reference>
          <reference field="1" count="1">
            <x v="37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208"/>
          </reference>
          <reference field="1" count="1">
            <x v="154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209"/>
          </reference>
          <reference field="1" count="1">
            <x v="75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210"/>
          </reference>
          <reference field="1" count="1">
            <x v="57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211"/>
          </reference>
          <reference field="1" count="1">
            <x v="58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212"/>
          </reference>
          <reference field="1" count="1">
            <x v="112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213"/>
          </reference>
          <reference field="1" count="1">
            <x v="151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214"/>
          </reference>
          <reference field="1" count="1">
            <x v="155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215"/>
          </reference>
          <reference field="1" count="1">
            <x v="72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216"/>
          </reference>
          <reference field="1" count="1">
            <x v="42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217"/>
          </reference>
          <reference field="1" count="1">
            <x v="16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218"/>
          </reference>
          <reference field="1" count="1">
            <x v="2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219"/>
          </reference>
          <reference field="1" count="1">
            <x v="41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220"/>
          </reference>
          <reference field="1" count="1">
            <x v="135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221"/>
          </reference>
          <reference field="1" count="1">
            <x v="118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222"/>
          </reference>
          <reference field="1" count="1">
            <x v="65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223"/>
          </reference>
          <reference field="1" count="1">
            <x v="125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224"/>
          </reference>
          <reference field="1" count="1">
            <x v="43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225"/>
          </reference>
          <reference field="1" count="1">
            <x v="54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226"/>
          </reference>
          <reference field="1" count="1">
            <x v="148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227"/>
          </reference>
          <reference field="1" count="1">
            <x v="82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228"/>
          </reference>
          <reference field="1" count="1">
            <x v="81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229"/>
          </reference>
          <reference field="1" count="1">
            <x v="83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230"/>
          </reference>
          <reference field="1" count="1">
            <x v="37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231"/>
          </reference>
          <reference field="1" count="1">
            <x v="154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232"/>
          </reference>
          <reference field="1" count="1">
            <x v="75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233"/>
          </reference>
          <reference field="1" count="1">
            <x v="77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234"/>
          </reference>
          <reference field="1" count="1">
            <x v="122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35"/>
          </reference>
          <reference field="1" count="1">
            <x v="59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236"/>
          </reference>
          <reference field="1" count="1">
            <x v="61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37"/>
          </reference>
          <reference field="1" count="1">
            <x v="151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238"/>
          </reference>
          <reference field="1" count="1">
            <x v="149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239"/>
          </reference>
          <reference field="1" count="1">
            <x v="155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240"/>
          </reference>
          <reference field="1" count="1">
            <x v="52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241"/>
          </reference>
          <reference field="1" count="1">
            <x v="47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242"/>
          </reference>
          <reference field="1" count="1">
            <x v="157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243"/>
          </reference>
          <reference field="1" count="1">
            <x v="113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244"/>
          </reference>
          <reference field="1" count="1">
            <x v="72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245"/>
          </reference>
          <reference field="1" count="1">
            <x v="17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246"/>
          </reference>
          <reference field="1" count="1">
            <x v="16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247"/>
          </reference>
          <reference field="1" count="1">
            <x v="2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248"/>
          </reference>
          <reference field="1" count="1">
            <x v="2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249"/>
          </reference>
          <reference field="1" count="1">
            <x v="15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250"/>
          </reference>
          <reference field="1" count="1">
            <x v="4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251"/>
          </reference>
          <reference field="1" count="1">
            <x v="76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252"/>
          </reference>
          <reference field="1" count="1">
            <x v="48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253"/>
          </reference>
          <reference field="1" count="1">
            <x v="41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254"/>
          </reference>
          <reference field="1" count="1">
            <x v="135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255"/>
          </reference>
          <reference field="1" count="1">
            <x v="118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256"/>
          </reference>
          <reference field="1" count="1">
            <x v="65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257"/>
          </reference>
          <reference field="1" count="1">
            <x v="26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258"/>
          </reference>
          <reference field="1" count="1">
            <x v="142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259"/>
          </reference>
          <reference field="1" count="1">
            <x v="125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260"/>
          </reference>
          <reference field="1" count="1">
            <x v="43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261"/>
          </reference>
          <reference field="1" count="1">
            <x v="54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62"/>
          </reference>
          <reference field="1" count="1">
            <x v="148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63"/>
          </reference>
          <reference field="1" count="1">
            <x v="82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264"/>
          </reference>
          <reference field="1" count="1">
            <x v="81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265"/>
          </reference>
          <reference field="1" count="1">
            <x v="83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266"/>
          </reference>
          <reference field="1" count="1">
            <x v="146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267"/>
          </reference>
          <reference field="1" count="1">
            <x v="129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68"/>
          </reference>
          <reference field="1" count="1">
            <x v="37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269"/>
          </reference>
          <reference field="1" count="1">
            <x v="140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270"/>
          </reference>
          <reference field="1" count="1">
            <x v="154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271"/>
          </reference>
          <reference field="1" count="1">
            <x v="75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272"/>
          </reference>
          <reference field="1" count="1">
            <x v="101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273"/>
          </reference>
          <reference field="1" count="1">
            <x v="57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274"/>
          </reference>
          <reference field="1" count="1">
            <x v="59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275"/>
          </reference>
          <reference field="1" count="1">
            <x v="112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276"/>
          </reference>
          <reference field="1" count="1">
            <x v="151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277"/>
          </reference>
          <reference field="1" count="1">
            <x v="149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278"/>
          </reference>
          <reference field="1" count="1">
            <x v="155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279"/>
          </reference>
          <reference field="1" count="1">
            <x v="64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280"/>
          </reference>
          <reference field="1" count="1">
            <x v="52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281"/>
          </reference>
          <reference field="1" count="1">
            <x v="71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282"/>
          </reference>
          <reference field="1" count="1">
            <x v="157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283"/>
          </reference>
          <reference field="1" count="1">
            <x v="141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284"/>
          </reference>
          <reference field="1" count="1">
            <x v="109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285"/>
          </reference>
          <reference field="1" count="1">
            <x v="147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286"/>
          </reference>
          <reference field="1" count="1">
            <x v="113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287"/>
          </reference>
          <reference field="1" count="1">
            <x v="72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288"/>
          </reference>
          <reference field="1" count="1">
            <x v="41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289"/>
          </reference>
          <reference field="1" count="1">
            <x v="135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290"/>
          </reference>
          <reference field="1" count="1">
            <x v="118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291"/>
          </reference>
          <reference field="1" count="1">
            <x v="132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292"/>
          </reference>
          <reference field="1" count="1">
            <x v="16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293"/>
          </reference>
          <reference field="1" count="1">
            <x v="2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294"/>
          </reference>
          <reference field="1" count="1">
            <x v="48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95"/>
          </reference>
          <reference field="1" count="1">
            <x v="41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96"/>
          </reference>
          <reference field="1" count="1">
            <x v="81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297"/>
          </reference>
          <reference field="1" count="1">
            <x v="57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98"/>
          </reference>
          <reference field="1" count="1">
            <x v="138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99"/>
          </reference>
          <reference field="1" count="1">
            <x v="16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300"/>
          </reference>
          <reference field="1" count="1">
            <x v="2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301"/>
          </reference>
          <reference field="1" count="1">
            <x v="48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302"/>
          </reference>
          <reference field="1" count="1">
            <x v="41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303"/>
          </reference>
          <reference field="1" count="1">
            <x v="64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304"/>
          </reference>
          <reference field="1" count="1">
            <x v="42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305"/>
          </reference>
          <reference field="1" count="1">
            <x v="16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306"/>
          </reference>
          <reference field="1" count="1">
            <x v="2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307"/>
          </reference>
          <reference field="1" count="1">
            <x v="76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308"/>
          </reference>
          <reference field="1" count="1">
            <x v="41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309"/>
          </reference>
          <reference field="1" count="1">
            <x v="135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310"/>
          </reference>
          <reference field="1" count="1">
            <x v="118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311"/>
          </reference>
          <reference field="1" count="1">
            <x v="65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312"/>
          </reference>
          <reference field="1" count="1">
            <x v="125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313"/>
          </reference>
          <reference field="1" count="1">
            <x v="43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314"/>
          </reference>
          <reference field="1" count="1">
            <x v="54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315"/>
          </reference>
          <reference field="1" count="1">
            <x v="148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316"/>
          </reference>
          <reference field="1" count="1">
            <x v="98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317"/>
          </reference>
          <reference field="1" count="1">
            <x v="114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318"/>
          </reference>
          <reference field="1" count="1">
            <x v="30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319"/>
          </reference>
          <reference field="1" count="1">
            <x v="37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320"/>
          </reference>
          <reference field="1" count="1">
            <x v="154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321"/>
          </reference>
          <reference field="1" count="1">
            <x v="123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322"/>
          </reference>
          <reference field="1" count="1">
            <x v="75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323"/>
          </reference>
          <reference field="1" count="1">
            <x v="95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324"/>
          </reference>
          <reference field="1" count="1">
            <x v="57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325"/>
          </reference>
          <reference field="1" count="1">
            <x v="59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326"/>
          </reference>
          <reference field="1" count="1">
            <x v="61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327"/>
          </reference>
          <reference field="1" count="1">
            <x v="62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328"/>
          </reference>
          <reference field="1" count="1">
            <x v="84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329"/>
          </reference>
          <reference field="1" count="1">
            <x v="112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330"/>
          </reference>
          <reference field="1" count="1">
            <x v="151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331"/>
          </reference>
          <reference field="1" count="1">
            <x v="149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332"/>
          </reference>
          <reference field="1" count="1">
            <x v="155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333"/>
          </reference>
          <reference field="1" count="1">
            <x v="87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334"/>
          </reference>
          <reference field="1" count="1">
            <x v="115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335"/>
          </reference>
          <reference field="1" count="1">
            <x v="141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336"/>
          </reference>
          <reference field="1" count="1">
            <x v="72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337"/>
          </reference>
          <reference field="1" count="1">
            <x v="42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338"/>
          </reference>
          <reference field="1" count="1">
            <x v="16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339"/>
          </reference>
          <reference field="1" count="1">
            <x v="2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340"/>
          </reference>
          <reference field="1" count="1">
            <x v="76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341"/>
          </reference>
          <reference field="1" count="1">
            <x v="41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342"/>
          </reference>
          <reference field="1" count="1">
            <x v="135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343"/>
          </reference>
          <reference field="1" count="1">
            <x v="118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344"/>
          </reference>
          <reference field="1" count="1">
            <x v="65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345"/>
          </reference>
          <reference field="1" count="1">
            <x v="125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346"/>
          </reference>
          <reference field="1" count="1">
            <x v="43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347"/>
          </reference>
          <reference field="1" count="1">
            <x v="54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348"/>
          </reference>
          <reference field="1" count="1">
            <x v="148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349"/>
          </reference>
          <reference field="1" count="1">
            <x v="30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350"/>
          </reference>
          <reference field="1" count="1">
            <x v="82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351"/>
          </reference>
          <reference field="1" count="1">
            <x v="81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352"/>
          </reference>
          <reference field="1" count="1">
            <x v="129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353"/>
          </reference>
          <reference field="1" count="1">
            <x v="8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354"/>
          </reference>
          <reference field="1" count="1">
            <x v="37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355"/>
          </reference>
          <reference field="1" count="1">
            <x v="154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356"/>
          </reference>
          <reference field="1" count="1">
            <x v="123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357"/>
          </reference>
          <reference field="1" count="1">
            <x v="75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358"/>
          </reference>
          <reference field="1" count="1">
            <x v="95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359"/>
          </reference>
          <reference field="1" count="1">
            <x v="57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360"/>
          </reference>
          <reference field="1" count="1">
            <x v="61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361"/>
          </reference>
          <reference field="1" count="1">
            <x v="84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362"/>
          </reference>
          <reference field="1" count="1">
            <x v="112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363"/>
          </reference>
          <reference field="1" count="1">
            <x v="151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364"/>
          </reference>
          <reference field="1" count="1">
            <x v="149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365"/>
          </reference>
          <reference field="1" count="1">
            <x v="155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366"/>
          </reference>
          <reference field="1" count="1">
            <x v="52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367"/>
          </reference>
          <reference field="1" count="1">
            <x v="87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368"/>
          </reference>
          <reference field="1" count="1">
            <x v="152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369"/>
          </reference>
          <reference field="1" count="1">
            <x v="115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370"/>
          </reference>
          <reference field="1" count="1">
            <x v="70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371"/>
          </reference>
          <reference field="1" count="1">
            <x v="63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372"/>
          </reference>
          <reference field="1" count="1">
            <x v="72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373"/>
          </reference>
          <reference field="1" count="1">
            <x v="42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374"/>
          </reference>
          <reference field="1" count="1">
            <x v="16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375"/>
          </reference>
          <reference field="1" count="1">
            <x v="2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376"/>
          </reference>
          <reference field="1" count="1">
            <x v="41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77"/>
          </reference>
          <reference field="1" count="1">
            <x v="135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378"/>
          </reference>
          <reference field="1" count="1">
            <x v="118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379"/>
          </reference>
          <reference field="1" count="1">
            <x v="65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380"/>
          </reference>
          <reference field="1" count="1">
            <x v="43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381"/>
          </reference>
          <reference field="1" count="1">
            <x v="148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382"/>
          </reference>
          <reference field="1" count="1">
            <x v="82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383"/>
          </reference>
          <reference field="1" count="1">
            <x v="81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384"/>
          </reference>
          <reference field="1" count="1">
            <x v="129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385"/>
          </reference>
          <reference field="1" count="1">
            <x v="37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386"/>
          </reference>
          <reference field="1" count="1">
            <x v="154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387"/>
          </reference>
          <reference field="1" count="1">
            <x v="75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388"/>
          </reference>
          <reference field="1" count="1">
            <x v="57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389"/>
          </reference>
          <reference field="1" count="1">
            <x v="61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390"/>
          </reference>
          <reference field="1" count="1">
            <x v="112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391"/>
          </reference>
          <reference field="1" count="1">
            <x v="67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392"/>
          </reference>
          <reference field="1" count="1">
            <x v="151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393"/>
          </reference>
          <reference field="1" count="1">
            <x v="155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394"/>
          </reference>
          <reference field="1" count="1">
            <x v="87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395"/>
          </reference>
          <reference field="1" count="1">
            <x v="36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396"/>
          </reference>
          <reference field="1" count="1">
            <x v="121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397"/>
          </reference>
          <reference field="1" count="1">
            <x v="113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398"/>
          </reference>
          <reference field="1" count="1">
            <x v="72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399"/>
          </reference>
          <reference field="1" count="1">
            <x v="16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400"/>
          </reference>
          <reference field="1" count="1">
            <x v="2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401"/>
          </reference>
          <reference field="1" count="1">
            <x v="48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402"/>
          </reference>
          <reference field="1" count="1">
            <x v="41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403"/>
          </reference>
          <reference field="1" count="1">
            <x v="135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404"/>
          </reference>
          <reference field="1" count="1">
            <x v="118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405"/>
          </reference>
          <reference field="1" count="1">
            <x v="65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406"/>
          </reference>
          <reference field="1" count="1">
            <x v="148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407"/>
          </reference>
          <reference field="1" count="1">
            <x v="82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408"/>
          </reference>
          <reference field="1" count="1">
            <x v="146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409"/>
          </reference>
          <reference field="1" count="1">
            <x v="154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410"/>
          </reference>
          <reference field="1" count="1">
            <x v="75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411"/>
          </reference>
          <reference field="1" count="1">
            <x v="57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412"/>
          </reference>
          <reference field="1" count="1">
            <x v="61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413"/>
          </reference>
          <reference field="1" count="1">
            <x v="62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414"/>
          </reference>
          <reference field="1" count="1">
            <x v="151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415"/>
          </reference>
          <reference field="1" count="1">
            <x v="155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416"/>
          </reference>
          <reference field="1" count="1">
            <x v="64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417"/>
          </reference>
          <reference field="1" count="1">
            <x v="157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418"/>
          </reference>
          <reference field="1" count="1">
            <x v="28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419"/>
          </reference>
          <reference field="1" count="1">
            <x v="138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420"/>
          </reference>
          <reference field="1" count="1">
            <x v="113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421"/>
          </reference>
          <reference field="1" count="1">
            <x v="16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422"/>
          </reference>
          <reference field="1" count="1">
            <x v="48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423"/>
          </reference>
          <reference field="1" count="1">
            <x v="41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424"/>
          </reference>
          <reference field="1" count="1">
            <x v="135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425"/>
          </reference>
          <reference field="1" count="1">
            <x v="118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426"/>
          </reference>
          <reference field="1" count="1">
            <x v="65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427"/>
          </reference>
          <reference field="1" count="1">
            <x v="43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428"/>
          </reference>
          <reference field="1" count="1">
            <x v="148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429"/>
          </reference>
          <reference field="1" count="1">
            <x v="37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430"/>
          </reference>
          <reference field="1" count="1">
            <x v="154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431"/>
          </reference>
          <reference field="1" count="1">
            <x v="75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432"/>
          </reference>
          <reference field="1" count="1">
            <x v="95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433"/>
          </reference>
          <reference field="1" count="1">
            <x v="61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434"/>
          </reference>
          <reference field="1" count="1">
            <x v="84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435"/>
          </reference>
          <reference field="1" count="1">
            <x v="151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436"/>
          </reference>
          <reference field="1" count="1">
            <x v="155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437"/>
          </reference>
          <reference field="1" count="1">
            <x v="99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438"/>
          </reference>
          <reference field="1" count="1">
            <x v="72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439"/>
          </reference>
          <reference field="1" count="1">
            <x v="42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440"/>
          </reference>
          <reference field="1" count="1">
            <x v="16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441"/>
          </reference>
          <reference field="1" count="1">
            <x v="2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442"/>
          </reference>
          <reference field="1" count="1">
            <x v="76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443"/>
          </reference>
          <reference field="1" count="1">
            <x v="104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444"/>
          </reference>
          <reference field="1" count="1">
            <x v="41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445"/>
          </reference>
          <reference field="1" count="1">
            <x v="131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446"/>
          </reference>
          <reference field="1" count="1">
            <x v="135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447"/>
          </reference>
          <reference field="1" count="1">
            <x v="118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448"/>
          </reference>
          <reference field="1" count="1">
            <x v="65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449"/>
          </reference>
          <reference field="1" count="1">
            <x v="125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450"/>
          </reference>
          <reference field="1" count="1">
            <x v="54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451"/>
          </reference>
          <reference field="1" count="1">
            <x v="148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452"/>
          </reference>
          <reference field="1" count="1">
            <x v="98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453"/>
          </reference>
          <reference field="1" count="1">
            <x v="114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454"/>
          </reference>
          <reference field="1" count="1">
            <x v="82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455"/>
          </reference>
          <reference field="1" count="1">
            <x v="37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456"/>
          </reference>
          <reference field="1" count="1">
            <x v="154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457"/>
          </reference>
          <reference field="1" count="1">
            <x v="120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458"/>
          </reference>
          <reference field="1" count="1">
            <x v="75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459"/>
          </reference>
          <reference field="1" count="1">
            <x v="57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460"/>
          </reference>
          <reference field="1" count="1">
            <x v="61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461"/>
          </reference>
          <reference field="1" count="1">
            <x v="151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462"/>
          </reference>
          <reference field="1" count="1">
            <x v="100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463"/>
          </reference>
          <reference field="1" count="1">
            <x v="155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464"/>
          </reference>
          <reference field="1" count="1">
            <x v="157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465"/>
          </reference>
          <reference field="1" count="1">
            <x v="138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466"/>
          </reference>
          <reference field="1" count="1">
            <x v="70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467"/>
          </reference>
          <reference field="1" count="1">
            <x v="39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468"/>
          </reference>
          <reference field="1" count="1">
            <x v="72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469"/>
          </reference>
          <reference field="1" count="1">
            <x v="42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470"/>
          </reference>
          <reference field="1" count="1">
            <x v="16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471"/>
          </reference>
          <reference field="1" count="1">
            <x v="2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472"/>
          </reference>
          <reference field="1" count="1">
            <x v="41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473"/>
          </reference>
          <reference field="1" count="1">
            <x v="135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474"/>
          </reference>
          <reference field="1" count="1">
            <x v="118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475"/>
          </reference>
          <reference field="1" count="1">
            <x v="65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476"/>
          </reference>
          <reference field="1" count="1">
            <x v="125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477"/>
          </reference>
          <reference field="1" count="1">
            <x v="43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478"/>
          </reference>
          <reference field="1" count="1">
            <x v="54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479"/>
          </reference>
          <reference field="1" count="1">
            <x v="148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480"/>
          </reference>
          <reference field="1" count="1">
            <x v="82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481"/>
          </reference>
          <reference field="1" count="1">
            <x v="81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482"/>
          </reference>
          <reference field="1" count="1">
            <x v="37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483"/>
          </reference>
          <reference field="1" count="1">
            <x v="140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484"/>
          </reference>
          <reference field="1" count="1">
            <x v="154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485"/>
          </reference>
          <reference field="1" count="1">
            <x v="123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486"/>
          </reference>
          <reference field="1" count="1">
            <x v="120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487"/>
          </reference>
          <reference field="1" count="1">
            <x v="75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488"/>
          </reference>
          <reference field="1" count="1">
            <x v="95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489"/>
          </reference>
          <reference field="1" count="1">
            <x v="122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490"/>
          </reference>
          <reference field="1" count="1">
            <x v="58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491"/>
          </reference>
          <reference field="1" count="1">
            <x v="61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492"/>
          </reference>
          <reference field="1" count="1">
            <x v="84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493"/>
          </reference>
          <reference field="1" count="1">
            <x v="151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494"/>
          </reference>
          <reference field="1" count="1">
            <x v="149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495"/>
          </reference>
          <reference field="1" count="1">
            <x v="100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496"/>
          </reference>
          <reference field="1" count="1">
            <x v="155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497"/>
          </reference>
          <reference field="1" count="1">
            <x v="32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498"/>
          </reference>
          <reference field="1" count="1">
            <x v="113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499"/>
          </reference>
          <reference field="1" count="1">
            <x v="72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500"/>
          </reference>
          <reference field="1" count="1">
            <x v="42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501"/>
          </reference>
          <reference field="1" count="1">
            <x v="16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503"/>
          </reference>
          <reference field="1" count="1">
            <x v="41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504"/>
          </reference>
          <reference field="1" count="1">
            <x v="135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505"/>
          </reference>
          <reference field="1" count="1">
            <x v="118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506"/>
          </reference>
          <reference field="1" count="1">
            <x v="65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507"/>
          </reference>
          <reference field="1" count="1">
            <x v="125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508"/>
          </reference>
          <reference field="1" count="1">
            <x v="43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509"/>
          </reference>
          <reference field="1" count="1">
            <x v="148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510"/>
          </reference>
          <reference field="1" count="1">
            <x v="98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511"/>
          </reference>
          <reference field="1" count="1">
            <x v="114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512"/>
          </reference>
          <reference field="1" count="1">
            <x v="30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513"/>
          </reference>
          <reference field="1" count="1">
            <x v="82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514"/>
          </reference>
          <reference field="1" count="1">
            <x v="146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515"/>
          </reference>
          <reference field="1" count="1">
            <x v="37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516"/>
          </reference>
          <reference field="1" count="1">
            <x v="154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517"/>
          </reference>
          <reference field="1" count="1">
            <x v="75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518"/>
          </reference>
          <reference field="1" count="1">
            <x v="60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519"/>
          </reference>
          <reference field="1" count="1">
            <x v="61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520"/>
          </reference>
          <reference field="1" count="1">
            <x v="84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521"/>
          </reference>
          <reference field="1" count="1">
            <x v="151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522"/>
          </reference>
          <reference field="1" count="1">
            <x v="149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523"/>
          </reference>
          <reference field="1" count="1">
            <x v="64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524"/>
          </reference>
          <reference field="1" count="1">
            <x v="52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525"/>
          </reference>
          <reference field="1" count="1">
            <x v="71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526"/>
          </reference>
          <reference field="1" count="1">
            <x v="157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527"/>
          </reference>
          <reference field="1" count="1">
            <x v="113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528"/>
          </reference>
          <reference field="1" count="1">
            <x v="72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529"/>
          </reference>
          <reference field="1" count="1">
            <x v="16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530"/>
          </reference>
          <reference field="1" count="1">
            <x v="76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531"/>
          </reference>
          <reference field="1" count="1">
            <x v="41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532"/>
          </reference>
          <reference field="1" count="1">
            <x v="135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533"/>
          </reference>
          <reference field="1" count="1">
            <x v="118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534"/>
          </reference>
          <reference field="1" count="1">
            <x v="65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535"/>
          </reference>
          <reference field="1" count="1">
            <x v="142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536"/>
          </reference>
          <reference field="1" count="1">
            <x v="125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537"/>
          </reference>
          <reference field="1" count="1">
            <x v="43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538"/>
          </reference>
          <reference field="1" count="1">
            <x v="148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539"/>
          </reference>
          <reference field="1" count="1">
            <x v="81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540"/>
          </reference>
          <reference field="1" count="1">
            <x v="37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541"/>
          </reference>
          <reference field="1" count="1">
            <x v="75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542"/>
          </reference>
          <reference field="1" count="1">
            <x v="95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543"/>
          </reference>
          <reference field="1" count="1">
            <x v="57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544"/>
          </reference>
          <reference field="1" count="1">
            <x v="149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545"/>
          </reference>
          <reference field="1" count="1">
            <x v="72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546"/>
          </reference>
          <reference field="1" count="1">
            <x v="42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547"/>
          </reference>
          <reference field="1" count="1">
            <x v="16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548"/>
          </reference>
          <reference field="1" count="1">
            <x v="2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549"/>
          </reference>
          <reference field="1" count="1">
            <x v="41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550"/>
          </reference>
          <reference field="1" count="1">
            <x v="135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551"/>
          </reference>
          <reference field="1" count="1">
            <x v="118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552"/>
          </reference>
          <reference field="1" count="1">
            <x v="65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553"/>
          </reference>
          <reference field="1" count="1">
            <x v="142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554"/>
          </reference>
          <reference field="1" count="1">
            <x v="54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555"/>
          </reference>
          <reference field="1" count="1">
            <x v="148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556"/>
          </reference>
          <reference field="1" count="1">
            <x v="82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557"/>
          </reference>
          <reference field="1" count="1">
            <x v="146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558"/>
          </reference>
          <reference field="1" count="1">
            <x v="8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559"/>
          </reference>
          <reference field="1" count="1">
            <x v="154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560"/>
          </reference>
          <reference field="1" count="1">
            <x v="75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561"/>
          </reference>
          <reference field="1" count="1">
            <x v="61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562"/>
          </reference>
          <reference field="1" count="1">
            <x v="62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563"/>
          </reference>
          <reference field="1" count="1">
            <x v="151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564"/>
          </reference>
          <reference field="1" count="1">
            <x v="149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565"/>
          </reference>
          <reference field="1" count="1">
            <x v="155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566"/>
          </reference>
          <reference field="1" count="1">
            <x v="64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567"/>
          </reference>
          <reference field="1" count="1">
            <x v="157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568"/>
          </reference>
          <reference field="1" count="1">
            <x v="72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569"/>
          </reference>
          <reference field="1" count="1">
            <x v="42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570"/>
          </reference>
          <reference field="1" count="1">
            <x v="16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571"/>
          </reference>
          <reference field="1" count="1">
            <x v="2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572"/>
          </reference>
          <reference field="1" count="1">
            <x v="41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573"/>
          </reference>
          <reference field="1" count="1">
            <x v="135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574"/>
          </reference>
          <reference field="1" count="1">
            <x v="118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575"/>
          </reference>
          <reference field="1" count="1">
            <x v="65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576"/>
          </reference>
          <reference field="1" count="1">
            <x v="125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577"/>
          </reference>
          <reference field="1" count="1">
            <x v="148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578"/>
          </reference>
          <reference field="1" count="1">
            <x v="82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579"/>
          </reference>
          <reference field="1" count="1">
            <x v="129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580"/>
          </reference>
          <reference field="1" count="1">
            <x v="154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581"/>
          </reference>
          <reference field="1" count="1">
            <x v="75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582"/>
          </reference>
          <reference field="1" count="1">
            <x v="62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583"/>
          </reference>
          <reference field="1" count="1">
            <x v="151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584"/>
          </reference>
          <reference field="1" count="1">
            <x v="149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585"/>
          </reference>
          <reference field="1" count="1">
            <x v="155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586"/>
          </reference>
          <reference field="1" count="1">
            <x v="64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587"/>
          </reference>
          <reference field="1" count="1">
            <x v="68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588"/>
          </reference>
          <reference field="1" count="1">
            <x v="157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589"/>
          </reference>
          <reference field="1" count="1">
            <x v="72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590"/>
          </reference>
          <reference field="1" count="1">
            <x v="42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591"/>
          </reference>
          <reference field="1" count="1">
            <x v="16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592"/>
          </reference>
          <reference field="1" count="1">
            <x v="41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593"/>
          </reference>
          <reference field="1" count="1">
            <x v="135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594"/>
          </reference>
          <reference field="1" count="1">
            <x v="118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595"/>
          </reference>
          <reference field="1" count="1">
            <x v="65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596"/>
          </reference>
          <reference field="1" count="1">
            <x v="148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597"/>
          </reference>
          <reference field="1" count="1">
            <x v="98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598"/>
          </reference>
          <reference field="1" count="1">
            <x v="82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599"/>
          </reference>
          <reference field="1" count="1">
            <x v="81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600"/>
          </reference>
          <reference field="1" count="1">
            <x v="37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601"/>
          </reference>
          <reference field="1" count="1">
            <x v="154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602"/>
          </reference>
          <reference field="1" count="1">
            <x v="75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603"/>
          </reference>
          <reference field="1" count="1">
            <x v="62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604"/>
          </reference>
          <reference field="1" count="1">
            <x v="151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605"/>
          </reference>
          <reference field="1" count="1">
            <x v="155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606"/>
          </reference>
          <reference field="1" count="1">
            <x v="28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607"/>
          </reference>
          <reference field="1" count="1">
            <x v="69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608"/>
          </reference>
          <reference field="1" count="1">
            <x v="132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609"/>
          </reference>
          <reference field="1" count="1">
            <x v="53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610"/>
          </reference>
          <reference field="1" count="1">
            <x v="113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611"/>
          </reference>
          <reference field="1" count="1">
            <x v="72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612"/>
          </reference>
          <reference field="1" count="1">
            <x v="16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613"/>
          </reference>
          <reference field="1" count="1">
            <x v="48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614"/>
          </reference>
          <reference field="1" count="1">
            <x v="104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615"/>
          </reference>
          <reference field="1" count="1">
            <x v="16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616"/>
          </reference>
          <reference field="1" count="1">
            <x v="48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617"/>
          </reference>
          <reference field="1" count="1">
            <x v="41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618"/>
          </reference>
          <reference field="1" count="1">
            <x v="125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619"/>
          </reference>
          <reference field="1" count="1">
            <x v="138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620"/>
          </reference>
          <reference field="1" count="1">
            <x v="16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621"/>
          </reference>
          <reference field="1" count="1">
            <x v="48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622"/>
          </reference>
          <reference field="1" count="1">
            <x v="41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623"/>
          </reference>
          <reference field="1" count="1">
            <x v="43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624"/>
          </reference>
          <reference field="1" count="1">
            <x v="151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625"/>
          </reference>
          <reference field="1" count="1">
            <x v="72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626"/>
          </reference>
          <reference field="1" count="1">
            <x v="42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627"/>
          </reference>
          <reference field="1" count="1">
            <x v="16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628"/>
          </reference>
          <reference field="1" count="1">
            <x v="2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629"/>
          </reference>
          <reference field="1" count="1">
            <x v="41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630"/>
          </reference>
          <reference field="1" count="1">
            <x v="135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631"/>
          </reference>
          <reference field="1" count="1">
            <x v="118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632"/>
          </reference>
          <reference field="1" count="1">
            <x v="65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633"/>
          </reference>
          <reference field="1" count="1">
            <x v="148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634"/>
          </reference>
          <reference field="1" count="1">
            <x v="82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635"/>
          </reference>
          <reference field="1" count="1">
            <x v="75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636"/>
          </reference>
          <reference field="1" count="1">
            <x v="72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637"/>
          </reference>
          <reference field="1" count="1">
            <x v="16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638"/>
          </reference>
          <reference field="1" count="1">
            <x v="48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639"/>
          </reference>
          <reference field="1" count="1">
            <x v="41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640"/>
          </reference>
          <reference field="1" count="1">
            <x v="135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641"/>
          </reference>
          <reference field="1" count="1">
            <x v="118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642"/>
          </reference>
          <reference field="1" count="1">
            <x v="65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643"/>
          </reference>
          <reference field="1" count="1">
            <x v="75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644"/>
          </reference>
          <reference field="1" count="1">
            <x v="151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645"/>
          </reference>
          <reference field="1" count="1">
            <x v="72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646"/>
          </reference>
          <reference field="1" count="1">
            <x v="42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647"/>
          </reference>
          <reference field="1" count="1">
            <x v="16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648"/>
          </reference>
          <reference field="1" count="1">
            <x v="41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649"/>
          </reference>
          <reference field="1" count="1">
            <x v="135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650"/>
          </reference>
          <reference field="1" count="1">
            <x v="118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651"/>
          </reference>
          <reference field="1" count="1">
            <x v="65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652"/>
          </reference>
          <reference field="1" count="1">
            <x v="148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653"/>
          </reference>
          <reference field="1" count="1">
            <x v="82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654"/>
          </reference>
          <reference field="1" count="1">
            <x v="140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655"/>
          </reference>
          <reference field="1" count="1">
            <x v="151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656"/>
          </reference>
          <reference field="1" count="1">
            <x v="149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657"/>
          </reference>
          <reference field="1" count="1">
            <x v="138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658"/>
          </reference>
          <reference field="1" count="1">
            <x v="72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659"/>
          </reference>
          <reference field="1" count="1">
            <x v="16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660"/>
          </reference>
          <reference field="1" count="1">
            <x v="48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661"/>
          </reference>
          <reference field="1" count="1">
            <x v="41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662"/>
          </reference>
          <reference field="1" count="1">
            <x v="135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663"/>
          </reference>
          <reference field="1" count="1">
            <x v="118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664"/>
          </reference>
          <reference field="1" count="1">
            <x v="54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665"/>
          </reference>
          <reference field="1" count="1">
            <x v="148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666"/>
          </reference>
          <reference field="1" count="1">
            <x v="112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667"/>
          </reference>
          <reference field="1" count="1">
            <x v="151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668"/>
          </reference>
          <reference field="1" count="1">
            <x v="16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669"/>
          </reference>
          <reference field="1" count="1">
            <x v="48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670"/>
          </reference>
          <reference field="1" count="1">
            <x v="41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671"/>
          </reference>
          <reference field="1" count="1">
            <x v="142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672"/>
          </reference>
          <reference field="1" count="1">
            <x v="151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673"/>
          </reference>
          <reference field="1" count="1">
            <x v="155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674"/>
          </reference>
          <reference field="1" count="1">
            <x v="157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675"/>
          </reference>
          <reference field="1" count="1">
            <x v="16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676"/>
          </reference>
          <reference field="1" count="1">
            <x v="48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677"/>
          </reference>
          <reference field="1" count="1">
            <x v="41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678"/>
          </reference>
          <reference field="1" count="1">
            <x v="125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679"/>
          </reference>
          <reference field="1" count="1">
            <x v="148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680"/>
          </reference>
          <reference field="1" count="1">
            <x v="82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681"/>
          </reference>
          <reference field="1" count="1">
            <x v="81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682"/>
          </reference>
          <reference field="1" count="1">
            <x v="57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683"/>
          </reference>
          <reference field="1" count="1">
            <x v="64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684"/>
          </reference>
          <reference field="1" count="1">
            <x v="42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685"/>
          </reference>
          <reference field="1" count="1">
            <x v="16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686"/>
          </reference>
          <reference field="1" count="1">
            <x v="41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687"/>
          </reference>
          <reference field="1" count="1">
            <x v="64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688"/>
          </reference>
          <reference field="1" count="1">
            <x v="109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689"/>
          </reference>
          <reference field="1" count="1">
            <x v="113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690"/>
          </reference>
          <reference field="1" count="1">
            <x v="16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691"/>
          </reference>
          <reference field="1" count="1">
            <x v="2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692"/>
          </reference>
          <reference field="1" count="1">
            <x v="104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693"/>
          </reference>
          <reference field="1" count="1">
            <x v="105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694"/>
          </reference>
          <reference field="1" count="1">
            <x v="124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695"/>
          </reference>
          <reference field="1" count="1">
            <x v="135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696"/>
          </reference>
          <reference field="1" count="1">
            <x v="118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697"/>
          </reference>
          <reference field="1" count="1">
            <x v="65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698"/>
          </reference>
          <reference field="1" count="1">
            <x v="142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699"/>
          </reference>
          <reference field="1" count="1">
            <x v="125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700"/>
          </reference>
          <reference field="1" count="1">
            <x v="148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701"/>
          </reference>
          <reference field="1" count="1">
            <x v="98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702"/>
          </reference>
          <reference field="1" count="1">
            <x v="81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703"/>
          </reference>
          <reference field="1" count="1">
            <x v="146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704"/>
          </reference>
          <reference field="1" count="1">
            <x v="37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705"/>
          </reference>
          <reference field="1" count="1">
            <x v="140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706"/>
          </reference>
          <reference field="1" count="1">
            <x v="154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707"/>
          </reference>
          <reference field="1" count="1">
            <x v="75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708"/>
          </reference>
          <reference field="1" count="1">
            <x v="128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709"/>
          </reference>
          <reference field="1" count="1">
            <x v="77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710"/>
          </reference>
          <reference field="1" count="1">
            <x v="122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711"/>
          </reference>
          <reference field="1" count="1">
            <x v="57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712"/>
          </reference>
          <reference field="1" count="1">
            <x v="60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713"/>
          </reference>
          <reference field="1" count="1">
            <x v="61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714"/>
          </reference>
          <reference field="1" count="1">
            <x v="62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715"/>
          </reference>
          <reference field="1" count="1">
            <x v="91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716"/>
          </reference>
          <reference field="1" count="1">
            <x v="151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717"/>
          </reference>
          <reference field="1" count="1">
            <x v="149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718"/>
          </reference>
          <reference field="1" count="1">
            <x v="100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719"/>
          </reference>
          <reference field="1" count="1">
            <x v="155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720"/>
          </reference>
          <reference field="1" count="1">
            <x v="51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721"/>
          </reference>
          <reference field="1" count="1">
            <x v="64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722"/>
          </reference>
          <reference field="1" count="1">
            <x v="52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723"/>
          </reference>
          <reference field="1" count="1">
            <x v="68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724"/>
          </reference>
          <reference field="1" count="1">
            <x v="33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725"/>
          </reference>
          <reference field="1" count="1">
            <x v="152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726"/>
          </reference>
          <reference field="1" count="1">
            <x v="47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727"/>
          </reference>
          <reference field="1" count="1">
            <x v="97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728"/>
          </reference>
          <reference field="1" count="1">
            <x v="157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729"/>
          </reference>
          <reference field="1" count="1">
            <x v="99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730"/>
          </reference>
          <reference field="1" count="1">
            <x v="55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731"/>
          </reference>
          <reference field="1" count="1">
            <x v="139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732"/>
          </reference>
          <reference field="1" count="1">
            <x v="150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733"/>
          </reference>
          <reference field="1" count="1">
            <x v="29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734"/>
          </reference>
          <reference field="1" count="1">
            <x v="92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735"/>
          </reference>
          <reference field="1" count="1">
            <x v="137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736"/>
          </reference>
          <reference field="1" count="1">
            <x v="69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737"/>
          </reference>
          <reference field="1" count="1">
            <x v="132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738"/>
          </reference>
          <reference field="1" count="1">
            <x v="138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739"/>
          </reference>
          <reference field="1" count="1">
            <x v="70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740"/>
          </reference>
          <reference field="1" count="1">
            <x v="39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741"/>
          </reference>
          <reference field="1" count="1">
            <x v="89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742"/>
          </reference>
          <reference field="1" count="1">
            <x v="121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743"/>
          </reference>
          <reference field="1" count="1">
            <x v="38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744"/>
          </reference>
          <reference field="1" count="1">
            <x v="104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745"/>
          </reference>
          <reference field="1" count="1">
            <x v="135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746"/>
          </reference>
          <reference field="1" count="1">
            <x v="88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747"/>
          </reference>
          <reference field="1" count="1">
            <x v="90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748"/>
          </reference>
          <reference field="1" count="1">
            <x v="12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749"/>
          </reference>
          <reference field="1" count="1">
            <x v="57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750"/>
          </reference>
          <reference field="1" count="1">
            <x v="156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751"/>
          </reference>
          <reference field="1" count="1">
            <x v="134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752"/>
          </reference>
          <reference field="1" count="1">
            <x v="94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753"/>
          </reference>
          <reference field="1" count="1">
            <x v="40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754"/>
          </reference>
          <reference field="1" count="1">
            <x v="146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755"/>
          </reference>
          <reference field="1" count="1">
            <x v="11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756"/>
          </reference>
          <reference field="1" count="1">
            <x v="13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757"/>
          </reference>
          <reference field="1" count="1">
            <x v="145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758"/>
          </reference>
          <reference field="1" count="1">
            <x v="144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759"/>
          </reference>
          <reference field="1" count="1">
            <x v="104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760"/>
          </reference>
          <reference field="1" count="1">
            <x v="79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761"/>
          </reference>
          <reference field="1" count="1">
            <x v="124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762"/>
          </reference>
          <reference field="1" count="1">
            <x v="122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763"/>
          </reference>
          <reference field="1" count="1">
            <x v="93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764"/>
          </reference>
          <reference field="1" count="1">
            <x v="49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765"/>
          </reference>
          <reference field="1" count="1">
            <x v="16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766"/>
          </reference>
          <reference field="1" count="1">
            <x v="7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767"/>
          </reference>
          <reference field="1" count="1">
            <x v="103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768"/>
          </reference>
          <reference field="1" count="1">
            <x v="108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769"/>
          </reference>
          <reference field="1" count="1">
            <x v="106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770"/>
          </reference>
          <reference field="1" count="1">
            <x v="107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771"/>
          </reference>
          <reference field="1" count="1">
            <x v="86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772"/>
          </reference>
          <reference field="1" count="1">
            <x v="85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773"/>
          </reference>
          <reference field="1" count="1">
            <x v="104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774"/>
          </reference>
          <reference field="1" count="1">
            <x v="79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775"/>
          </reference>
          <reference field="1" count="1">
            <x v="124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776"/>
          </reference>
          <reference field="1" count="1">
            <x v="135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777"/>
          </reference>
          <reference field="1" count="1">
            <x v="122"/>
          </reference>
        </references>
      </pivotArea>
    </format>
    <format dxfId="8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3">
      <pivotArea type="all" dataOnly="0" outline="0" fieldPosition="0"/>
    </format>
    <format dxfId="804">
      <pivotArea outline="0" collapsedLevelsAreSubtotals="1" fieldPosition="0"/>
    </format>
    <format dxfId="805">
      <pivotArea type="origin" dataOnly="0" labelOnly="1" outline="0" fieldPosition="0"/>
    </format>
    <format dxfId="806">
      <pivotArea field="-2" type="button" dataOnly="0" labelOnly="1" outline="0" fieldPosition="0"/>
    </format>
    <format dxfId="807">
      <pivotArea type="topRight" dataOnly="0" labelOnly="1" outline="0" fieldPosition="0"/>
    </format>
    <format dxfId="808">
      <pivotArea field="0" type="button" dataOnly="0" labelOnly="1" outline="0" fieldPosition="0"/>
    </format>
    <format dxfId="809">
      <pivotArea field="1" type="button" dataOnly="0" labelOnly="1" outline="0" fieldPosition="0"/>
    </format>
    <format dxfId="810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1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12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13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14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15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16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17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18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19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20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21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22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23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824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825">
      <pivotArea dataOnly="0" labelOnly="1" outline="0" fieldPosition="0">
        <references count="1">
          <reference field="0" count="28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</reference>
        </references>
      </pivotArea>
    </format>
    <format dxfId="826">
      <pivotArea dataOnly="0" labelOnly="1" grandRow="1" outline="0" fieldPosition="0"/>
    </format>
    <format dxfId="827">
      <pivotArea dataOnly="0" labelOnly="1" outline="0" fieldPosition="0">
        <references count="2">
          <reference field="0" count="1" selected="0">
            <x v="0"/>
          </reference>
          <reference field="1" count="1">
            <x v="24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1"/>
          </reference>
          <reference field="1" count="1">
            <x v="20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2"/>
          </reference>
          <reference field="1" count="1">
            <x v="22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4"/>
          </reference>
          <reference field="1" count="1">
            <x v="18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5"/>
          </reference>
          <reference field="1" count="1">
            <x v="21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6"/>
          </reference>
          <reference field="1" count="1">
            <x v="25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7"/>
          </reference>
          <reference field="1" count="1">
            <x v="17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8"/>
          </reference>
          <reference field="1" count="1">
            <x v="23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9"/>
          </reference>
          <reference field="1" count="1">
            <x v="16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10"/>
          </reference>
          <reference field="1" count="1">
            <x v="2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11"/>
          </reference>
          <reference field="1" count="1">
            <x v="117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12"/>
          </reference>
          <reference field="1" count="1">
            <x v="2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13"/>
          </reference>
          <reference field="1" count="1">
            <x v="46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14"/>
          </reference>
          <reference field="1" count="1">
            <x v="15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15"/>
          </reference>
          <reference field="1" count="1">
            <x v="5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16"/>
          </reference>
          <reference field="1" count="1">
            <x v="6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17"/>
          </reference>
          <reference field="1" count="1">
            <x v="3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18"/>
          </reference>
          <reference field="1" count="1">
            <x v="76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19"/>
          </reference>
          <reference field="1" count="1">
            <x v="34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20"/>
          </reference>
          <reference field="1" count="1">
            <x v="80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21"/>
          </reference>
          <reference field="1" count="1">
            <x v="10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22"/>
          </reference>
          <reference field="1" count="1">
            <x v="104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23"/>
          </reference>
          <reference field="1" count="1">
            <x v="153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24"/>
          </reference>
          <reference field="1" count="1">
            <x v="35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25"/>
          </reference>
          <reference field="1" count="1">
            <x v="41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27"/>
          </reference>
          <reference field="1" count="1">
            <x v="127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28"/>
          </reference>
          <reference field="1" count="1">
            <x v="74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29"/>
          </reference>
          <reference field="1" count="1">
            <x v="78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30"/>
          </reference>
          <reference field="1" count="1">
            <x v="50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31"/>
          </reference>
          <reference field="1" count="1">
            <x v="0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32"/>
          </reference>
          <reference field="1" count="1">
            <x v="44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33"/>
          </reference>
          <reference field="1" count="1">
            <x v="116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34"/>
          </reference>
          <reference field="1" count="1">
            <x v="136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35"/>
          </reference>
          <reference field="1" count="1">
            <x v="14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36"/>
          </reference>
          <reference field="1" count="1">
            <x v="111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37"/>
          </reference>
          <reference field="1" count="1">
            <x v="130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38"/>
          </reference>
          <reference field="1" count="1">
            <x v="110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39"/>
          </reference>
          <reference field="1" count="1">
            <x v="131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40"/>
          </reference>
          <reference field="1" count="1">
            <x v="143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41"/>
          </reference>
          <reference field="1" count="1">
            <x v="133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42"/>
          </reference>
          <reference field="1" count="1">
            <x v="56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43"/>
          </reference>
          <reference field="1" count="1">
            <x v="141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44"/>
          </reference>
          <reference field="1" count="1">
            <x v="124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46"/>
          </reference>
          <reference field="1" count="1">
            <x v="135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47"/>
          </reference>
          <reference field="1" count="1">
            <x v="118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48"/>
          </reference>
          <reference field="1" count="1">
            <x v="65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49"/>
          </reference>
          <reference field="1" count="1">
            <x v="142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50"/>
          </reference>
          <reference field="1" count="1">
            <x v="125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51"/>
          </reference>
          <reference field="1" count="1">
            <x v="43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52"/>
          </reference>
          <reference field="1" count="1">
            <x v="9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53"/>
          </reference>
          <reference field="1" count="1">
            <x v="54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54"/>
          </reference>
          <reference field="1" count="1">
            <x v="119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55"/>
          </reference>
          <reference field="1" count="1">
            <x v="148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56"/>
          </reference>
          <reference field="1" count="1">
            <x v="82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57"/>
          </reference>
          <reference field="1" count="1">
            <x v="81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58"/>
          </reference>
          <reference field="1" count="1">
            <x v="83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59"/>
          </reference>
          <reference field="1" count="1">
            <x v="146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60"/>
          </reference>
          <reference field="1" count="1">
            <x v="129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61"/>
          </reference>
          <reference field="1" count="1">
            <x v="8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62"/>
          </reference>
          <reference field="1" count="1">
            <x v="37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63"/>
          </reference>
          <reference field="1" count="1">
            <x v="140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64"/>
          </reference>
          <reference field="1" count="1">
            <x v="154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65"/>
          </reference>
          <reference field="1" count="1">
            <x v="123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66"/>
          </reference>
          <reference field="1" count="1">
            <x v="120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67"/>
          </reference>
          <reference field="1" count="1">
            <x v="75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68"/>
          </reference>
          <reference field="1" count="1">
            <x v="128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69"/>
          </reference>
          <reference field="1" count="1">
            <x v="101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70"/>
          </reference>
          <reference field="1" count="1">
            <x v="77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71"/>
          </reference>
          <reference field="1" count="1">
            <x v="122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72"/>
          </reference>
          <reference field="1" count="1">
            <x v="57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73"/>
          </reference>
          <reference field="1" count="1">
            <x v="59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74"/>
          </reference>
          <reference field="1" count="1">
            <x v="61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75"/>
          </reference>
          <reference field="1" count="1">
            <x v="84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76"/>
          </reference>
          <reference field="1" count="1">
            <x v="91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77"/>
          </reference>
          <reference field="1" count="1">
            <x v="112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78"/>
          </reference>
          <reference field="1" count="1">
            <x v="151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79"/>
          </reference>
          <reference field="1" count="1">
            <x v="149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80"/>
          </reference>
          <reference field="1" count="1">
            <x v="155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81"/>
          </reference>
          <reference field="1" count="1">
            <x v="102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82"/>
          </reference>
          <reference field="1" count="1">
            <x v="66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83"/>
          </reference>
          <reference field="1" count="1">
            <x v="64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84"/>
          </reference>
          <reference field="1" count="1">
            <x v="52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85"/>
          </reference>
          <reference field="1" count="1">
            <x v="68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86"/>
          </reference>
          <reference field="1" count="1">
            <x v="33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87"/>
          </reference>
          <reference field="1" count="1">
            <x v="47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88"/>
          </reference>
          <reference field="1" count="1">
            <x v="115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89"/>
          </reference>
          <reference field="1" count="1">
            <x v="157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90"/>
          </reference>
          <reference field="1" count="1">
            <x v="141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91"/>
          </reference>
          <reference field="1" count="1">
            <x v="99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92"/>
          </reference>
          <reference field="1" count="1">
            <x v="139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93"/>
          </reference>
          <reference field="1" count="1">
            <x v="150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94"/>
          </reference>
          <reference field="1" count="1">
            <x v="27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95"/>
          </reference>
          <reference field="1" count="1">
            <x v="28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96"/>
          </reference>
          <reference field="1" count="1">
            <x v="29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97"/>
          </reference>
          <reference field="1" count="1">
            <x v="73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98"/>
          </reference>
          <reference field="1" count="1">
            <x v="137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99"/>
          </reference>
          <reference field="1" count="1">
            <x v="69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100"/>
          </reference>
          <reference field="1" count="1">
            <x v="138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101"/>
          </reference>
          <reference field="1" count="1">
            <x v="70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102"/>
          </reference>
          <reference field="1" count="1">
            <x v="89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103"/>
          </reference>
          <reference field="1" count="1">
            <x v="53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104"/>
          </reference>
          <reference field="1" count="1">
            <x v="96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105"/>
          </reference>
          <reference field="1" count="1">
            <x v="16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106"/>
          </reference>
          <reference field="1" count="1">
            <x v="2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107"/>
          </reference>
          <reference field="1" count="1">
            <x v="48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108"/>
          </reference>
          <reference field="1" count="1">
            <x v="41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109"/>
          </reference>
          <reference field="1" count="1">
            <x v="135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110"/>
          </reference>
          <reference field="1" count="1">
            <x v="118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111"/>
          </reference>
          <reference field="1" count="1">
            <x v="65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112"/>
          </reference>
          <reference field="1" count="1">
            <x v="142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113"/>
          </reference>
          <reference field="1" count="1">
            <x v="125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114"/>
          </reference>
          <reference field="1" count="1">
            <x v="43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115"/>
          </reference>
          <reference field="1" count="1">
            <x v="54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116"/>
          </reference>
          <reference field="1" count="1">
            <x v="148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117"/>
          </reference>
          <reference field="1" count="1">
            <x v="82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118"/>
          </reference>
          <reference field="1" count="1">
            <x v="81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119"/>
          </reference>
          <reference field="1" count="1">
            <x v="37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120"/>
          </reference>
          <reference field="1" count="1">
            <x v="140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121"/>
          </reference>
          <reference field="1" count="1">
            <x v="154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122"/>
          </reference>
          <reference field="1" count="1">
            <x v="123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123"/>
          </reference>
          <reference field="1" count="1">
            <x v="120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124"/>
          </reference>
          <reference field="1" count="1">
            <x v="75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125"/>
          </reference>
          <reference field="1" count="1">
            <x v="95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126"/>
          </reference>
          <reference field="1" count="1">
            <x v="57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127"/>
          </reference>
          <reference field="1" count="1">
            <x v="60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128"/>
          </reference>
          <reference field="1" count="1">
            <x v="61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129"/>
          </reference>
          <reference field="1" count="1">
            <x v="84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130"/>
          </reference>
          <reference field="1" count="1">
            <x v="91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131"/>
          </reference>
          <reference field="1" count="1">
            <x v="112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132"/>
          </reference>
          <reference field="1" count="1">
            <x v="151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133"/>
          </reference>
          <reference field="1" count="1">
            <x v="149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134"/>
          </reference>
          <reference field="1" count="1">
            <x v="100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135"/>
          </reference>
          <reference field="1" count="1">
            <x v="155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136"/>
          </reference>
          <reference field="1" count="1">
            <x v="66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137"/>
          </reference>
          <reference field="1" count="1">
            <x v="64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138"/>
          </reference>
          <reference field="1" count="1">
            <x v="52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139"/>
          </reference>
          <reference field="1" count="1">
            <x v="87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140"/>
          </reference>
          <reference field="1" count="1">
            <x v="33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141"/>
          </reference>
          <reference field="1" count="1">
            <x v="157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142"/>
          </reference>
          <reference field="1" count="1">
            <x v="55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143"/>
          </reference>
          <reference field="1" count="1">
            <x v="29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144"/>
          </reference>
          <reference field="1" count="1">
            <x v="137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145"/>
          </reference>
          <reference field="1" count="1">
            <x v="69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146"/>
          </reference>
          <reference field="1" count="1">
            <x v="72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147"/>
          </reference>
          <reference field="1" count="1">
            <x v="42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148"/>
          </reference>
          <reference field="1" count="1">
            <x v="16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149"/>
          </reference>
          <reference field="1" count="1">
            <x v="2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150"/>
          </reference>
          <reference field="1" count="1">
            <x v="41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151"/>
          </reference>
          <reference field="1" count="1">
            <x v="135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152"/>
          </reference>
          <reference field="1" count="1">
            <x v="118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153"/>
          </reference>
          <reference field="1" count="1">
            <x v="125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154"/>
          </reference>
          <reference field="1" count="1">
            <x v="54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155"/>
          </reference>
          <reference field="1" count="1">
            <x v="148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156"/>
          </reference>
          <reference field="1" count="1">
            <x v="30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157"/>
          </reference>
          <reference field="1" count="1">
            <x v="146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158"/>
          </reference>
          <reference field="1" count="1">
            <x v="129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159"/>
          </reference>
          <reference field="1" count="1">
            <x v="149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160"/>
          </reference>
          <reference field="1" count="1">
            <x v="16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161"/>
          </reference>
          <reference field="1" count="1">
            <x v="2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162"/>
          </reference>
          <reference field="1" count="1">
            <x v="48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163"/>
          </reference>
          <reference field="1" count="1">
            <x v="41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164"/>
          </reference>
          <reference field="1" count="1">
            <x v="55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165"/>
          </reference>
          <reference field="1" count="1">
            <x v="72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166"/>
          </reference>
          <reference field="1" count="1">
            <x v="16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167"/>
          </reference>
          <reference field="1" count="1">
            <x v="2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168"/>
          </reference>
          <reference field="1" count="1">
            <x v="48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169"/>
          </reference>
          <reference field="1" count="1">
            <x v="41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170"/>
          </reference>
          <reference field="1" count="1">
            <x v="126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171"/>
          </reference>
          <reference field="1" count="1">
            <x v="135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172"/>
          </reference>
          <reference field="1" count="1">
            <x v="118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173"/>
          </reference>
          <reference field="1" count="1">
            <x v="65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174"/>
          </reference>
          <reference field="1" count="1">
            <x v="142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175"/>
          </reference>
          <reference field="1" count="1">
            <x v="148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176"/>
          </reference>
          <reference field="1" count="1">
            <x v="98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177"/>
          </reference>
          <reference field="1" count="1">
            <x v="30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178"/>
          </reference>
          <reference field="1" count="1">
            <x v="31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179"/>
          </reference>
          <reference field="1" count="1">
            <x v="75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180"/>
          </reference>
          <reference field="1" count="1">
            <x v="61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181"/>
          </reference>
          <reference field="1" count="1">
            <x v="112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182"/>
          </reference>
          <reference field="1" count="1">
            <x v="151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183"/>
          </reference>
          <reference field="1" count="1">
            <x v="149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184"/>
          </reference>
          <reference field="1" count="1">
            <x v="155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185"/>
          </reference>
          <reference field="1" count="1">
            <x v="64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186"/>
          </reference>
          <reference field="1" count="1">
            <x v="52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187"/>
          </reference>
          <reference field="1" count="1">
            <x v="42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188"/>
          </reference>
          <reference field="1" count="1">
            <x v="16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189"/>
          </reference>
          <reference field="1" count="1">
            <x v="41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190"/>
          </reference>
          <reference field="1" count="1">
            <x v="135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191"/>
          </reference>
          <reference field="1" count="1">
            <x v="118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192"/>
          </reference>
          <reference field="1" count="1">
            <x v="65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193"/>
          </reference>
          <reference field="1" count="1">
            <x v="148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194"/>
          </reference>
          <reference field="1" count="1">
            <x v="37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195"/>
          </reference>
          <reference field="1" count="1">
            <x v="154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196"/>
          </reference>
          <reference field="1" count="1">
            <x v="75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197"/>
          </reference>
          <reference field="1" count="1">
            <x v="72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198"/>
          </reference>
          <reference field="1" count="1">
            <x v="42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199"/>
          </reference>
          <reference field="1" count="1">
            <x v="16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200"/>
          </reference>
          <reference field="1" count="1">
            <x v="2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201"/>
          </reference>
          <reference field="1" count="1">
            <x v="41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202"/>
          </reference>
          <reference field="1" count="1">
            <x v="135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203"/>
          </reference>
          <reference field="1" count="1">
            <x v="118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204"/>
          </reference>
          <reference field="1" count="1">
            <x v="65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205"/>
          </reference>
          <reference field="1" count="1">
            <x v="148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206"/>
          </reference>
          <reference field="1" count="1">
            <x v="82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207"/>
          </reference>
          <reference field="1" count="1">
            <x v="37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208"/>
          </reference>
          <reference field="1" count="1">
            <x v="154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209"/>
          </reference>
          <reference field="1" count="1">
            <x v="75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210"/>
          </reference>
          <reference field="1" count="1">
            <x v="57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211"/>
          </reference>
          <reference field="1" count="1">
            <x v="58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212"/>
          </reference>
          <reference field="1" count="1">
            <x v="112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213"/>
          </reference>
          <reference field="1" count="1">
            <x v="151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214"/>
          </reference>
          <reference field="1" count="1">
            <x v="155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215"/>
          </reference>
          <reference field="1" count="1">
            <x v="72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216"/>
          </reference>
          <reference field="1" count="1">
            <x v="42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217"/>
          </reference>
          <reference field="1" count="1">
            <x v="16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218"/>
          </reference>
          <reference field="1" count="1">
            <x v="2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219"/>
          </reference>
          <reference field="1" count="1">
            <x v="41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220"/>
          </reference>
          <reference field="1" count="1">
            <x v="135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221"/>
          </reference>
          <reference field="1" count="1">
            <x v="118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222"/>
          </reference>
          <reference field="1" count="1">
            <x v="65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223"/>
          </reference>
          <reference field="1" count="1">
            <x v="125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224"/>
          </reference>
          <reference field="1" count="1">
            <x v="43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225"/>
          </reference>
          <reference field="1" count="1">
            <x v="54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226"/>
          </reference>
          <reference field="1" count="1">
            <x v="148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227"/>
          </reference>
          <reference field="1" count="1">
            <x v="82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228"/>
          </reference>
          <reference field="1" count="1">
            <x v="81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229"/>
          </reference>
          <reference field="1" count="1">
            <x v="83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230"/>
          </reference>
          <reference field="1" count="1">
            <x v="37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231"/>
          </reference>
          <reference field="1" count="1">
            <x v="154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232"/>
          </reference>
          <reference field="1" count="1">
            <x v="75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233"/>
          </reference>
          <reference field="1" count="1">
            <x v="77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234"/>
          </reference>
          <reference field="1" count="1">
            <x v="122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235"/>
          </reference>
          <reference field="1" count="1">
            <x v="59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236"/>
          </reference>
          <reference field="1" count="1">
            <x v="61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237"/>
          </reference>
          <reference field="1" count="1">
            <x v="151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238"/>
          </reference>
          <reference field="1" count="1">
            <x v="149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239"/>
          </reference>
          <reference field="1" count="1">
            <x v="155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240"/>
          </reference>
          <reference field="1" count="1">
            <x v="52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241"/>
          </reference>
          <reference field="1" count="1">
            <x v="47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242"/>
          </reference>
          <reference field="1" count="1">
            <x v="157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243"/>
          </reference>
          <reference field="1" count="1">
            <x v="113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244"/>
          </reference>
          <reference field="1" count="1">
            <x v="72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245"/>
          </reference>
          <reference field="1" count="1">
            <x v="17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246"/>
          </reference>
          <reference field="1" count="1">
            <x v="16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247"/>
          </reference>
          <reference field="1" count="1">
            <x v="2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248"/>
          </reference>
          <reference field="1" count="1">
            <x v="2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249"/>
          </reference>
          <reference field="1" count="1">
            <x v="15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250"/>
          </reference>
          <reference field="1" count="1">
            <x v="4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251"/>
          </reference>
          <reference field="1" count="1">
            <x v="76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252"/>
          </reference>
          <reference field="1" count="1">
            <x v="48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253"/>
          </reference>
          <reference field="1" count="1">
            <x v="41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254"/>
          </reference>
          <reference field="1" count="1">
            <x v="135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255"/>
          </reference>
          <reference field="1" count="1">
            <x v="118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256"/>
          </reference>
          <reference field="1" count="1">
            <x v="65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257"/>
          </reference>
          <reference field="1" count="1">
            <x v="26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258"/>
          </reference>
          <reference field="1" count="1">
            <x v="142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259"/>
          </reference>
          <reference field="1" count="1">
            <x v="125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260"/>
          </reference>
          <reference field="1" count="1">
            <x v="43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261"/>
          </reference>
          <reference field="1" count="1">
            <x v="54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262"/>
          </reference>
          <reference field="1" count="1">
            <x v="148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263"/>
          </reference>
          <reference field="1" count="1">
            <x v="82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264"/>
          </reference>
          <reference field="1" count="1">
            <x v="81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265"/>
          </reference>
          <reference field="1" count="1">
            <x v="83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266"/>
          </reference>
          <reference field="1" count="1">
            <x v="146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267"/>
          </reference>
          <reference field="1" count="1">
            <x v="129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268"/>
          </reference>
          <reference field="1" count="1">
            <x v="37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269"/>
          </reference>
          <reference field="1" count="1">
            <x v="140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270"/>
          </reference>
          <reference field="1" count="1">
            <x v="154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271"/>
          </reference>
          <reference field="1" count="1">
            <x v="75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272"/>
          </reference>
          <reference field="1" count="1">
            <x v="101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273"/>
          </reference>
          <reference field="1" count="1">
            <x v="57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274"/>
          </reference>
          <reference field="1" count="1">
            <x v="59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275"/>
          </reference>
          <reference field="1" count="1">
            <x v="112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276"/>
          </reference>
          <reference field="1" count="1">
            <x v="151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277"/>
          </reference>
          <reference field="1" count="1">
            <x v="149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278"/>
          </reference>
          <reference field="1" count="1">
            <x v="155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279"/>
          </reference>
          <reference field="1" count="1">
            <x v="64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280"/>
          </reference>
          <reference field="1" count="1">
            <x v="52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281"/>
          </reference>
          <reference field="1" count="1">
            <x v="71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282"/>
          </reference>
          <reference field="1" count="1">
            <x v="157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283"/>
          </reference>
          <reference field="1" count="1">
            <x v="141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284"/>
          </reference>
          <reference field="1" count="1">
            <x v="109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285"/>
          </reference>
          <reference field="1" count="1">
            <x v="147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286"/>
          </reference>
          <reference field="1" count="1">
            <x v="113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287"/>
          </reference>
          <reference field="1" count="1">
            <x v="72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288"/>
          </reference>
          <reference field="1" count="1">
            <x v="41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289"/>
          </reference>
          <reference field="1" count="1">
            <x v="135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290"/>
          </reference>
          <reference field="1" count="1">
            <x v="118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291"/>
          </reference>
          <reference field="1" count="1">
            <x v="132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292"/>
          </reference>
          <reference field="1" count="1">
            <x v="16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293"/>
          </reference>
          <reference field="1" count="1">
            <x v="2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294"/>
          </reference>
          <reference field="1" count="1">
            <x v="48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295"/>
          </reference>
          <reference field="1" count="1">
            <x v="41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296"/>
          </reference>
          <reference field="1" count="1">
            <x v="81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297"/>
          </reference>
          <reference field="1" count="1">
            <x v="57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298"/>
          </reference>
          <reference field="1" count="1">
            <x v="138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299"/>
          </reference>
          <reference field="1" count="1">
            <x v="16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300"/>
          </reference>
          <reference field="1" count="1">
            <x v="2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301"/>
          </reference>
          <reference field="1" count="1">
            <x v="48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302"/>
          </reference>
          <reference field="1" count="1">
            <x v="41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303"/>
          </reference>
          <reference field="1" count="1">
            <x v="64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304"/>
          </reference>
          <reference field="1" count="1">
            <x v="42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305"/>
          </reference>
          <reference field="1" count="1">
            <x v="16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306"/>
          </reference>
          <reference field="1" count="1">
            <x v="2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307"/>
          </reference>
          <reference field="1" count="1">
            <x v="76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308"/>
          </reference>
          <reference field="1" count="1">
            <x v="41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309"/>
          </reference>
          <reference field="1" count="1">
            <x v="135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310"/>
          </reference>
          <reference field="1" count="1">
            <x v="118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311"/>
          </reference>
          <reference field="1" count="1">
            <x v="65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312"/>
          </reference>
          <reference field="1" count="1">
            <x v="125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313"/>
          </reference>
          <reference field="1" count="1">
            <x v="43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314"/>
          </reference>
          <reference field="1" count="1">
            <x v="54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315"/>
          </reference>
          <reference field="1" count="1">
            <x v="148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316"/>
          </reference>
          <reference field="1" count="1">
            <x v="98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317"/>
          </reference>
          <reference field="1" count="1">
            <x v="114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318"/>
          </reference>
          <reference field="1" count="1">
            <x v="30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319"/>
          </reference>
          <reference field="1" count="1">
            <x v="37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320"/>
          </reference>
          <reference field="1" count="1">
            <x v="154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321"/>
          </reference>
          <reference field="1" count="1">
            <x v="123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322"/>
          </reference>
          <reference field="1" count="1">
            <x v="75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323"/>
          </reference>
          <reference field="1" count="1">
            <x v="95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324"/>
          </reference>
          <reference field="1" count="1">
            <x v="57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325"/>
          </reference>
          <reference field="1" count="1">
            <x v="59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326"/>
          </reference>
          <reference field="1" count="1">
            <x v="61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327"/>
          </reference>
          <reference field="1" count="1">
            <x v="62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328"/>
          </reference>
          <reference field="1" count="1">
            <x v="84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329"/>
          </reference>
          <reference field="1" count="1">
            <x v="112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330"/>
          </reference>
          <reference field="1" count="1">
            <x v="151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331"/>
          </reference>
          <reference field="1" count="1">
            <x v="149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332"/>
          </reference>
          <reference field="1" count="1">
            <x v="155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333"/>
          </reference>
          <reference field="1" count="1">
            <x v="87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334"/>
          </reference>
          <reference field="1" count="1">
            <x v="115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335"/>
          </reference>
          <reference field="1" count="1">
            <x v="141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336"/>
          </reference>
          <reference field="1" count="1">
            <x v="72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337"/>
          </reference>
          <reference field="1" count="1">
            <x v="42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338"/>
          </reference>
          <reference field="1" count="1">
            <x v="16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339"/>
          </reference>
          <reference field="1" count="1">
            <x v="2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340"/>
          </reference>
          <reference field="1" count="1">
            <x v="76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341"/>
          </reference>
          <reference field="1" count="1">
            <x v="41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342"/>
          </reference>
          <reference field="1" count="1">
            <x v="135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343"/>
          </reference>
          <reference field="1" count="1">
            <x v="118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344"/>
          </reference>
          <reference field="1" count="1">
            <x v="65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345"/>
          </reference>
          <reference field="1" count="1">
            <x v="125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346"/>
          </reference>
          <reference field="1" count="1">
            <x v="43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347"/>
          </reference>
          <reference field="1" count="1">
            <x v="54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348"/>
          </reference>
          <reference field="1" count="1">
            <x v="148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349"/>
          </reference>
          <reference field="1" count="1">
            <x v="30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350"/>
          </reference>
          <reference field="1" count="1">
            <x v="82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351"/>
          </reference>
          <reference field="1" count="1">
            <x v="81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352"/>
          </reference>
          <reference field="1" count="1">
            <x v="129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353"/>
          </reference>
          <reference field="1" count="1">
            <x v="8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354"/>
          </reference>
          <reference field="1" count="1">
            <x v="37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355"/>
          </reference>
          <reference field="1" count="1">
            <x v="154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356"/>
          </reference>
          <reference field="1" count="1">
            <x v="123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357"/>
          </reference>
          <reference field="1" count="1">
            <x v="75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358"/>
          </reference>
          <reference field="1" count="1">
            <x v="95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359"/>
          </reference>
          <reference field="1" count="1">
            <x v="57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360"/>
          </reference>
          <reference field="1" count="1">
            <x v="61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361"/>
          </reference>
          <reference field="1" count="1">
            <x v="84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362"/>
          </reference>
          <reference field="1" count="1">
            <x v="112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363"/>
          </reference>
          <reference field="1" count="1">
            <x v="151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364"/>
          </reference>
          <reference field="1" count="1">
            <x v="149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365"/>
          </reference>
          <reference field="1" count="1">
            <x v="155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366"/>
          </reference>
          <reference field="1" count="1">
            <x v="52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367"/>
          </reference>
          <reference field="1" count="1">
            <x v="87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368"/>
          </reference>
          <reference field="1" count="1">
            <x v="152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369"/>
          </reference>
          <reference field="1" count="1">
            <x v="115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370"/>
          </reference>
          <reference field="1" count="1">
            <x v="70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371"/>
          </reference>
          <reference field="1" count="1">
            <x v="63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372"/>
          </reference>
          <reference field="1" count="1">
            <x v="72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373"/>
          </reference>
          <reference field="1" count="1">
            <x v="42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374"/>
          </reference>
          <reference field="1" count="1">
            <x v="16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375"/>
          </reference>
          <reference field="1" count="1">
            <x v="2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376"/>
          </reference>
          <reference field="1" count="1">
            <x v="41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377"/>
          </reference>
          <reference field="1" count="1">
            <x v="135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378"/>
          </reference>
          <reference field="1" count="1">
            <x v="118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379"/>
          </reference>
          <reference field="1" count="1">
            <x v="65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380"/>
          </reference>
          <reference field="1" count="1">
            <x v="43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381"/>
          </reference>
          <reference field="1" count="1">
            <x v="148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382"/>
          </reference>
          <reference field="1" count="1">
            <x v="82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383"/>
          </reference>
          <reference field="1" count="1">
            <x v="81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384"/>
          </reference>
          <reference field="1" count="1">
            <x v="129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385"/>
          </reference>
          <reference field="1" count="1">
            <x v="37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386"/>
          </reference>
          <reference field="1" count="1">
            <x v="154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387"/>
          </reference>
          <reference field="1" count="1">
            <x v="75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388"/>
          </reference>
          <reference field="1" count="1">
            <x v="57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389"/>
          </reference>
          <reference field="1" count="1">
            <x v="61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390"/>
          </reference>
          <reference field="1" count="1">
            <x v="112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391"/>
          </reference>
          <reference field="1" count="1">
            <x v="67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392"/>
          </reference>
          <reference field="1" count="1">
            <x v="151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393"/>
          </reference>
          <reference field="1" count="1">
            <x v="155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394"/>
          </reference>
          <reference field="1" count="1">
            <x v="87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395"/>
          </reference>
          <reference field="1" count="1">
            <x v="36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396"/>
          </reference>
          <reference field="1" count="1">
            <x v="121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397"/>
          </reference>
          <reference field="1" count="1">
            <x v="113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398"/>
          </reference>
          <reference field="1" count="1">
            <x v="72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399"/>
          </reference>
          <reference field="1" count="1">
            <x v="16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400"/>
          </reference>
          <reference field="1" count="1">
            <x v="2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401"/>
          </reference>
          <reference field="1" count="1">
            <x v="48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402"/>
          </reference>
          <reference field="1" count="1">
            <x v="41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403"/>
          </reference>
          <reference field="1" count="1">
            <x v="135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404"/>
          </reference>
          <reference field="1" count="1">
            <x v="118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405"/>
          </reference>
          <reference field="1" count="1">
            <x v="65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406"/>
          </reference>
          <reference field="1" count="1">
            <x v="148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407"/>
          </reference>
          <reference field="1" count="1">
            <x v="82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408"/>
          </reference>
          <reference field="1" count="1">
            <x v="146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409"/>
          </reference>
          <reference field="1" count="1">
            <x v="154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410"/>
          </reference>
          <reference field="1" count="1">
            <x v="75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411"/>
          </reference>
          <reference field="1" count="1">
            <x v="57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412"/>
          </reference>
          <reference field="1" count="1">
            <x v="61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413"/>
          </reference>
          <reference field="1" count="1">
            <x v="62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414"/>
          </reference>
          <reference field="1" count="1">
            <x v="151"/>
          </reference>
        </references>
      </pivotArea>
    </format>
    <format dxfId="1242">
      <pivotArea dataOnly="0" labelOnly="1" outline="0" fieldPosition="0">
        <references count="2">
          <reference field="0" count="1" selected="0">
            <x v="415"/>
          </reference>
          <reference field="1" count="1">
            <x v="155"/>
          </reference>
        </references>
      </pivotArea>
    </format>
    <format dxfId="1243">
      <pivotArea dataOnly="0" labelOnly="1" outline="0" fieldPosition="0">
        <references count="2">
          <reference field="0" count="1" selected="0">
            <x v="416"/>
          </reference>
          <reference field="1" count="1">
            <x v="64"/>
          </reference>
        </references>
      </pivotArea>
    </format>
    <format dxfId="1244">
      <pivotArea dataOnly="0" labelOnly="1" outline="0" fieldPosition="0">
        <references count="2">
          <reference field="0" count="1" selected="0">
            <x v="417"/>
          </reference>
          <reference field="1" count="1">
            <x v="157"/>
          </reference>
        </references>
      </pivotArea>
    </format>
    <format dxfId="1245">
      <pivotArea dataOnly="0" labelOnly="1" outline="0" fieldPosition="0">
        <references count="2">
          <reference field="0" count="1" selected="0">
            <x v="418"/>
          </reference>
          <reference field="1" count="1">
            <x v="28"/>
          </reference>
        </references>
      </pivotArea>
    </format>
    <format dxfId="1246">
      <pivotArea dataOnly="0" labelOnly="1" outline="0" fieldPosition="0">
        <references count="2">
          <reference field="0" count="1" selected="0">
            <x v="419"/>
          </reference>
          <reference field="1" count="1">
            <x v="138"/>
          </reference>
        </references>
      </pivotArea>
    </format>
    <format dxfId="1247">
      <pivotArea dataOnly="0" labelOnly="1" outline="0" fieldPosition="0">
        <references count="2">
          <reference field="0" count="1" selected="0">
            <x v="420"/>
          </reference>
          <reference field="1" count="1">
            <x v="113"/>
          </reference>
        </references>
      </pivotArea>
    </format>
    <format dxfId="1248">
      <pivotArea dataOnly="0" labelOnly="1" outline="0" fieldPosition="0">
        <references count="2">
          <reference field="0" count="1" selected="0">
            <x v="421"/>
          </reference>
          <reference field="1" count="1">
            <x v="16"/>
          </reference>
        </references>
      </pivotArea>
    </format>
    <format dxfId="1249">
      <pivotArea dataOnly="0" labelOnly="1" outline="0" fieldPosition="0">
        <references count="2">
          <reference field="0" count="1" selected="0">
            <x v="422"/>
          </reference>
          <reference field="1" count="1">
            <x v="48"/>
          </reference>
        </references>
      </pivotArea>
    </format>
    <format dxfId="1250">
      <pivotArea dataOnly="0" labelOnly="1" outline="0" fieldPosition="0">
        <references count="2">
          <reference field="0" count="1" selected="0">
            <x v="423"/>
          </reference>
          <reference field="1" count="1">
            <x v="41"/>
          </reference>
        </references>
      </pivotArea>
    </format>
    <format dxfId="1251">
      <pivotArea dataOnly="0" labelOnly="1" outline="0" fieldPosition="0">
        <references count="2">
          <reference field="0" count="1" selected="0">
            <x v="424"/>
          </reference>
          <reference field="1" count="1">
            <x v="135"/>
          </reference>
        </references>
      </pivotArea>
    </format>
    <format dxfId="1252">
      <pivotArea dataOnly="0" labelOnly="1" outline="0" fieldPosition="0">
        <references count="2">
          <reference field="0" count="1" selected="0">
            <x v="425"/>
          </reference>
          <reference field="1" count="1">
            <x v="118"/>
          </reference>
        </references>
      </pivotArea>
    </format>
    <format dxfId="1253">
      <pivotArea dataOnly="0" labelOnly="1" outline="0" fieldPosition="0">
        <references count="2">
          <reference field="0" count="1" selected="0">
            <x v="426"/>
          </reference>
          <reference field="1" count="1">
            <x v="65"/>
          </reference>
        </references>
      </pivotArea>
    </format>
    <format dxfId="1254">
      <pivotArea dataOnly="0" labelOnly="1" outline="0" fieldPosition="0">
        <references count="2">
          <reference field="0" count="1" selected="0">
            <x v="427"/>
          </reference>
          <reference field="1" count="1">
            <x v="43"/>
          </reference>
        </references>
      </pivotArea>
    </format>
    <format dxfId="1255">
      <pivotArea dataOnly="0" labelOnly="1" outline="0" fieldPosition="0">
        <references count="2">
          <reference field="0" count="1" selected="0">
            <x v="428"/>
          </reference>
          <reference field="1" count="1">
            <x v="148"/>
          </reference>
        </references>
      </pivotArea>
    </format>
    <format dxfId="1256">
      <pivotArea dataOnly="0" labelOnly="1" outline="0" fieldPosition="0">
        <references count="2">
          <reference field="0" count="1" selected="0">
            <x v="429"/>
          </reference>
          <reference field="1" count="1">
            <x v="37"/>
          </reference>
        </references>
      </pivotArea>
    </format>
    <format dxfId="1257">
      <pivotArea dataOnly="0" labelOnly="1" outline="0" fieldPosition="0">
        <references count="2">
          <reference field="0" count="1" selected="0">
            <x v="430"/>
          </reference>
          <reference field="1" count="1">
            <x v="154"/>
          </reference>
        </references>
      </pivotArea>
    </format>
    <format dxfId="1258">
      <pivotArea dataOnly="0" labelOnly="1" outline="0" fieldPosition="0">
        <references count="2">
          <reference field="0" count="1" selected="0">
            <x v="431"/>
          </reference>
          <reference field="1" count="1">
            <x v="75"/>
          </reference>
        </references>
      </pivotArea>
    </format>
    <format dxfId="1259">
      <pivotArea dataOnly="0" labelOnly="1" outline="0" fieldPosition="0">
        <references count="2">
          <reference field="0" count="1" selected="0">
            <x v="432"/>
          </reference>
          <reference field="1" count="1">
            <x v="95"/>
          </reference>
        </references>
      </pivotArea>
    </format>
    <format dxfId="1260">
      <pivotArea dataOnly="0" labelOnly="1" outline="0" fieldPosition="0">
        <references count="2">
          <reference field="0" count="1" selected="0">
            <x v="433"/>
          </reference>
          <reference field="1" count="1">
            <x v="61"/>
          </reference>
        </references>
      </pivotArea>
    </format>
    <format dxfId="1261">
      <pivotArea dataOnly="0" labelOnly="1" outline="0" fieldPosition="0">
        <references count="2">
          <reference field="0" count="1" selected="0">
            <x v="434"/>
          </reference>
          <reference field="1" count="1">
            <x v="84"/>
          </reference>
        </references>
      </pivotArea>
    </format>
    <format dxfId="1262">
      <pivotArea dataOnly="0" labelOnly="1" outline="0" fieldPosition="0">
        <references count="2">
          <reference field="0" count="1" selected="0">
            <x v="435"/>
          </reference>
          <reference field="1" count="1">
            <x v="151"/>
          </reference>
        </references>
      </pivotArea>
    </format>
    <format dxfId="1263">
      <pivotArea dataOnly="0" labelOnly="1" outline="0" fieldPosition="0">
        <references count="2">
          <reference field="0" count="1" selected="0">
            <x v="436"/>
          </reference>
          <reference field="1" count="1">
            <x v="155"/>
          </reference>
        </references>
      </pivotArea>
    </format>
    <format dxfId="1264">
      <pivotArea dataOnly="0" labelOnly="1" outline="0" fieldPosition="0">
        <references count="2">
          <reference field="0" count="1" selected="0">
            <x v="437"/>
          </reference>
          <reference field="1" count="1">
            <x v="99"/>
          </reference>
        </references>
      </pivotArea>
    </format>
    <format dxfId="1265">
      <pivotArea dataOnly="0" labelOnly="1" outline="0" fieldPosition="0">
        <references count="2">
          <reference field="0" count="1" selected="0">
            <x v="438"/>
          </reference>
          <reference field="1" count="1">
            <x v="72"/>
          </reference>
        </references>
      </pivotArea>
    </format>
    <format dxfId="1266">
      <pivotArea dataOnly="0" labelOnly="1" outline="0" fieldPosition="0">
        <references count="2">
          <reference field="0" count="1" selected="0">
            <x v="439"/>
          </reference>
          <reference field="1" count="1">
            <x v="42"/>
          </reference>
        </references>
      </pivotArea>
    </format>
    <format dxfId="1267">
      <pivotArea dataOnly="0" labelOnly="1" outline="0" fieldPosition="0">
        <references count="2">
          <reference field="0" count="1" selected="0">
            <x v="440"/>
          </reference>
          <reference field="1" count="1">
            <x v="16"/>
          </reference>
        </references>
      </pivotArea>
    </format>
    <format dxfId="1268">
      <pivotArea dataOnly="0" labelOnly="1" outline="0" fieldPosition="0">
        <references count="2">
          <reference field="0" count="1" selected="0">
            <x v="441"/>
          </reference>
          <reference field="1" count="1">
            <x v="2"/>
          </reference>
        </references>
      </pivotArea>
    </format>
    <format dxfId="1269">
      <pivotArea dataOnly="0" labelOnly="1" outline="0" fieldPosition="0">
        <references count="2">
          <reference field="0" count="1" selected="0">
            <x v="442"/>
          </reference>
          <reference field="1" count="1">
            <x v="76"/>
          </reference>
        </references>
      </pivotArea>
    </format>
    <format dxfId="1270">
      <pivotArea dataOnly="0" labelOnly="1" outline="0" fieldPosition="0">
        <references count="2">
          <reference field="0" count="1" selected="0">
            <x v="443"/>
          </reference>
          <reference field="1" count="1">
            <x v="104"/>
          </reference>
        </references>
      </pivotArea>
    </format>
    <format dxfId="1271">
      <pivotArea dataOnly="0" labelOnly="1" outline="0" fieldPosition="0">
        <references count="2">
          <reference field="0" count="1" selected="0">
            <x v="444"/>
          </reference>
          <reference field="1" count="1">
            <x v="41"/>
          </reference>
        </references>
      </pivotArea>
    </format>
    <format dxfId="1272">
      <pivotArea dataOnly="0" labelOnly="1" outline="0" fieldPosition="0">
        <references count="2">
          <reference field="0" count="1" selected="0">
            <x v="445"/>
          </reference>
          <reference field="1" count="1">
            <x v="131"/>
          </reference>
        </references>
      </pivotArea>
    </format>
    <format dxfId="1273">
      <pivotArea dataOnly="0" labelOnly="1" outline="0" fieldPosition="0">
        <references count="2">
          <reference field="0" count="1" selected="0">
            <x v="446"/>
          </reference>
          <reference field="1" count="1">
            <x v="135"/>
          </reference>
        </references>
      </pivotArea>
    </format>
    <format dxfId="1274">
      <pivotArea dataOnly="0" labelOnly="1" outline="0" fieldPosition="0">
        <references count="2">
          <reference field="0" count="1" selected="0">
            <x v="447"/>
          </reference>
          <reference field="1" count="1">
            <x v="118"/>
          </reference>
        </references>
      </pivotArea>
    </format>
    <format dxfId="1275">
      <pivotArea dataOnly="0" labelOnly="1" outline="0" fieldPosition="0">
        <references count="2">
          <reference field="0" count="1" selected="0">
            <x v="448"/>
          </reference>
          <reference field="1" count="1">
            <x v="65"/>
          </reference>
        </references>
      </pivotArea>
    </format>
    <format dxfId="1276">
      <pivotArea dataOnly="0" labelOnly="1" outline="0" fieldPosition="0">
        <references count="2">
          <reference field="0" count="1" selected="0">
            <x v="449"/>
          </reference>
          <reference field="1" count="1">
            <x v="125"/>
          </reference>
        </references>
      </pivotArea>
    </format>
    <format dxfId="1277">
      <pivotArea dataOnly="0" labelOnly="1" outline="0" fieldPosition="0">
        <references count="2">
          <reference field="0" count="1" selected="0">
            <x v="450"/>
          </reference>
          <reference field="1" count="1">
            <x v="54"/>
          </reference>
        </references>
      </pivotArea>
    </format>
    <format dxfId="1278">
      <pivotArea dataOnly="0" labelOnly="1" outline="0" fieldPosition="0">
        <references count="2">
          <reference field="0" count="1" selected="0">
            <x v="451"/>
          </reference>
          <reference field="1" count="1">
            <x v="148"/>
          </reference>
        </references>
      </pivotArea>
    </format>
    <format dxfId="1279">
      <pivotArea dataOnly="0" labelOnly="1" outline="0" fieldPosition="0">
        <references count="2">
          <reference field="0" count="1" selected="0">
            <x v="452"/>
          </reference>
          <reference field="1" count="1">
            <x v="98"/>
          </reference>
        </references>
      </pivotArea>
    </format>
    <format dxfId="1280">
      <pivotArea dataOnly="0" labelOnly="1" outline="0" fieldPosition="0">
        <references count="2">
          <reference field="0" count="1" selected="0">
            <x v="453"/>
          </reference>
          <reference field="1" count="1">
            <x v="114"/>
          </reference>
        </references>
      </pivotArea>
    </format>
    <format dxfId="1281">
      <pivotArea dataOnly="0" labelOnly="1" outline="0" fieldPosition="0">
        <references count="2">
          <reference field="0" count="1" selected="0">
            <x v="454"/>
          </reference>
          <reference field="1" count="1">
            <x v="82"/>
          </reference>
        </references>
      </pivotArea>
    </format>
    <format dxfId="1282">
      <pivotArea dataOnly="0" labelOnly="1" outline="0" fieldPosition="0">
        <references count="2">
          <reference field="0" count="1" selected="0">
            <x v="455"/>
          </reference>
          <reference field="1" count="1">
            <x v="37"/>
          </reference>
        </references>
      </pivotArea>
    </format>
    <format dxfId="1283">
      <pivotArea dataOnly="0" labelOnly="1" outline="0" fieldPosition="0">
        <references count="2">
          <reference field="0" count="1" selected="0">
            <x v="456"/>
          </reference>
          <reference field="1" count="1">
            <x v="154"/>
          </reference>
        </references>
      </pivotArea>
    </format>
    <format dxfId="1284">
      <pivotArea dataOnly="0" labelOnly="1" outline="0" fieldPosition="0">
        <references count="2">
          <reference field="0" count="1" selected="0">
            <x v="457"/>
          </reference>
          <reference field="1" count="1">
            <x v="120"/>
          </reference>
        </references>
      </pivotArea>
    </format>
    <format dxfId="1285">
      <pivotArea dataOnly="0" labelOnly="1" outline="0" fieldPosition="0">
        <references count="2">
          <reference field="0" count="1" selected="0">
            <x v="458"/>
          </reference>
          <reference field="1" count="1">
            <x v="75"/>
          </reference>
        </references>
      </pivotArea>
    </format>
    <format dxfId="1286">
      <pivotArea dataOnly="0" labelOnly="1" outline="0" fieldPosition="0">
        <references count="2">
          <reference field="0" count="1" selected="0">
            <x v="459"/>
          </reference>
          <reference field="1" count="1">
            <x v="57"/>
          </reference>
        </references>
      </pivotArea>
    </format>
    <format dxfId="1287">
      <pivotArea dataOnly="0" labelOnly="1" outline="0" fieldPosition="0">
        <references count="2">
          <reference field="0" count="1" selected="0">
            <x v="460"/>
          </reference>
          <reference field="1" count="1">
            <x v="61"/>
          </reference>
        </references>
      </pivotArea>
    </format>
    <format dxfId="1288">
      <pivotArea dataOnly="0" labelOnly="1" outline="0" fieldPosition="0">
        <references count="2">
          <reference field="0" count="1" selected="0">
            <x v="461"/>
          </reference>
          <reference field="1" count="1">
            <x v="151"/>
          </reference>
        </references>
      </pivotArea>
    </format>
    <format dxfId="1289">
      <pivotArea dataOnly="0" labelOnly="1" outline="0" fieldPosition="0">
        <references count="2">
          <reference field="0" count="1" selected="0">
            <x v="462"/>
          </reference>
          <reference field="1" count="1">
            <x v="100"/>
          </reference>
        </references>
      </pivotArea>
    </format>
    <format dxfId="1290">
      <pivotArea dataOnly="0" labelOnly="1" outline="0" fieldPosition="0">
        <references count="2">
          <reference field="0" count="1" selected="0">
            <x v="463"/>
          </reference>
          <reference field="1" count="1">
            <x v="155"/>
          </reference>
        </references>
      </pivotArea>
    </format>
    <format dxfId="1291">
      <pivotArea dataOnly="0" labelOnly="1" outline="0" fieldPosition="0">
        <references count="2">
          <reference field="0" count="1" selected="0">
            <x v="464"/>
          </reference>
          <reference field="1" count="1">
            <x v="157"/>
          </reference>
        </references>
      </pivotArea>
    </format>
    <format dxfId="1292">
      <pivotArea dataOnly="0" labelOnly="1" outline="0" fieldPosition="0">
        <references count="2">
          <reference field="0" count="1" selected="0">
            <x v="465"/>
          </reference>
          <reference field="1" count="1">
            <x v="138"/>
          </reference>
        </references>
      </pivotArea>
    </format>
    <format dxfId="1293">
      <pivotArea dataOnly="0" labelOnly="1" outline="0" fieldPosition="0">
        <references count="2">
          <reference field="0" count="1" selected="0">
            <x v="466"/>
          </reference>
          <reference field="1" count="1">
            <x v="70"/>
          </reference>
        </references>
      </pivotArea>
    </format>
    <format dxfId="1294">
      <pivotArea dataOnly="0" labelOnly="1" outline="0" fieldPosition="0">
        <references count="2">
          <reference field="0" count="1" selected="0">
            <x v="467"/>
          </reference>
          <reference field="1" count="1">
            <x v="39"/>
          </reference>
        </references>
      </pivotArea>
    </format>
    <format dxfId="1295">
      <pivotArea dataOnly="0" labelOnly="1" outline="0" fieldPosition="0">
        <references count="2">
          <reference field="0" count="1" selected="0">
            <x v="468"/>
          </reference>
          <reference field="1" count="1">
            <x v="72"/>
          </reference>
        </references>
      </pivotArea>
    </format>
    <format dxfId="1296">
      <pivotArea dataOnly="0" labelOnly="1" outline="0" fieldPosition="0">
        <references count="2">
          <reference field="0" count="1" selected="0">
            <x v="469"/>
          </reference>
          <reference field="1" count="1">
            <x v="42"/>
          </reference>
        </references>
      </pivotArea>
    </format>
    <format dxfId="1297">
      <pivotArea dataOnly="0" labelOnly="1" outline="0" fieldPosition="0">
        <references count="2">
          <reference field="0" count="1" selected="0">
            <x v="470"/>
          </reference>
          <reference field="1" count="1">
            <x v="16"/>
          </reference>
        </references>
      </pivotArea>
    </format>
    <format dxfId="1298">
      <pivotArea dataOnly="0" labelOnly="1" outline="0" fieldPosition="0">
        <references count="2">
          <reference field="0" count="1" selected="0">
            <x v="471"/>
          </reference>
          <reference field="1" count="1">
            <x v="2"/>
          </reference>
        </references>
      </pivotArea>
    </format>
    <format dxfId="1299">
      <pivotArea dataOnly="0" labelOnly="1" outline="0" fieldPosition="0">
        <references count="2">
          <reference field="0" count="1" selected="0">
            <x v="472"/>
          </reference>
          <reference field="1" count="1">
            <x v="41"/>
          </reference>
        </references>
      </pivotArea>
    </format>
    <format dxfId="1300">
      <pivotArea dataOnly="0" labelOnly="1" outline="0" fieldPosition="0">
        <references count="2">
          <reference field="0" count="1" selected="0">
            <x v="473"/>
          </reference>
          <reference field="1" count="1">
            <x v="135"/>
          </reference>
        </references>
      </pivotArea>
    </format>
    <format dxfId="1301">
      <pivotArea dataOnly="0" labelOnly="1" outline="0" fieldPosition="0">
        <references count="2">
          <reference field="0" count="1" selected="0">
            <x v="474"/>
          </reference>
          <reference field="1" count="1">
            <x v="118"/>
          </reference>
        </references>
      </pivotArea>
    </format>
    <format dxfId="1302">
      <pivotArea dataOnly="0" labelOnly="1" outline="0" fieldPosition="0">
        <references count="2">
          <reference field="0" count="1" selected="0">
            <x v="475"/>
          </reference>
          <reference field="1" count="1">
            <x v="65"/>
          </reference>
        </references>
      </pivotArea>
    </format>
    <format dxfId="1303">
      <pivotArea dataOnly="0" labelOnly="1" outline="0" fieldPosition="0">
        <references count="2">
          <reference field="0" count="1" selected="0">
            <x v="476"/>
          </reference>
          <reference field="1" count="1">
            <x v="125"/>
          </reference>
        </references>
      </pivotArea>
    </format>
    <format dxfId="1304">
      <pivotArea dataOnly="0" labelOnly="1" outline="0" fieldPosition="0">
        <references count="2">
          <reference field="0" count="1" selected="0">
            <x v="477"/>
          </reference>
          <reference field="1" count="1">
            <x v="43"/>
          </reference>
        </references>
      </pivotArea>
    </format>
    <format dxfId="1305">
      <pivotArea dataOnly="0" labelOnly="1" outline="0" fieldPosition="0">
        <references count="2">
          <reference field="0" count="1" selected="0">
            <x v="478"/>
          </reference>
          <reference field="1" count="1">
            <x v="54"/>
          </reference>
        </references>
      </pivotArea>
    </format>
    <format dxfId="1306">
      <pivotArea dataOnly="0" labelOnly="1" outline="0" fieldPosition="0">
        <references count="2">
          <reference field="0" count="1" selected="0">
            <x v="479"/>
          </reference>
          <reference field="1" count="1">
            <x v="148"/>
          </reference>
        </references>
      </pivotArea>
    </format>
    <format dxfId="1307">
      <pivotArea dataOnly="0" labelOnly="1" outline="0" fieldPosition="0">
        <references count="2">
          <reference field="0" count="1" selected="0">
            <x v="480"/>
          </reference>
          <reference field="1" count="1">
            <x v="82"/>
          </reference>
        </references>
      </pivotArea>
    </format>
    <format dxfId="1308">
      <pivotArea dataOnly="0" labelOnly="1" outline="0" fieldPosition="0">
        <references count="2">
          <reference field="0" count="1" selected="0">
            <x v="481"/>
          </reference>
          <reference field="1" count="1">
            <x v="81"/>
          </reference>
        </references>
      </pivotArea>
    </format>
    <format dxfId="1309">
      <pivotArea dataOnly="0" labelOnly="1" outline="0" fieldPosition="0">
        <references count="2">
          <reference field="0" count="1" selected="0">
            <x v="482"/>
          </reference>
          <reference field="1" count="1">
            <x v="37"/>
          </reference>
        </references>
      </pivotArea>
    </format>
    <format dxfId="1310">
      <pivotArea dataOnly="0" labelOnly="1" outline="0" fieldPosition="0">
        <references count="2">
          <reference field="0" count="1" selected="0">
            <x v="483"/>
          </reference>
          <reference field="1" count="1">
            <x v="140"/>
          </reference>
        </references>
      </pivotArea>
    </format>
    <format dxfId="1311">
      <pivotArea dataOnly="0" labelOnly="1" outline="0" fieldPosition="0">
        <references count="2">
          <reference field="0" count="1" selected="0">
            <x v="484"/>
          </reference>
          <reference field="1" count="1">
            <x v="154"/>
          </reference>
        </references>
      </pivotArea>
    </format>
    <format dxfId="1312">
      <pivotArea dataOnly="0" labelOnly="1" outline="0" fieldPosition="0">
        <references count="2">
          <reference field="0" count="1" selected="0">
            <x v="485"/>
          </reference>
          <reference field="1" count="1">
            <x v="123"/>
          </reference>
        </references>
      </pivotArea>
    </format>
    <format dxfId="1313">
      <pivotArea dataOnly="0" labelOnly="1" outline="0" fieldPosition="0">
        <references count="2">
          <reference field="0" count="1" selected="0">
            <x v="486"/>
          </reference>
          <reference field="1" count="1">
            <x v="120"/>
          </reference>
        </references>
      </pivotArea>
    </format>
    <format dxfId="1314">
      <pivotArea dataOnly="0" labelOnly="1" outline="0" fieldPosition="0">
        <references count="2">
          <reference field="0" count="1" selected="0">
            <x v="487"/>
          </reference>
          <reference field="1" count="1">
            <x v="75"/>
          </reference>
        </references>
      </pivotArea>
    </format>
    <format dxfId="1315">
      <pivotArea dataOnly="0" labelOnly="1" outline="0" fieldPosition="0">
        <references count="2">
          <reference field="0" count="1" selected="0">
            <x v="488"/>
          </reference>
          <reference field="1" count="1">
            <x v="95"/>
          </reference>
        </references>
      </pivotArea>
    </format>
    <format dxfId="1316">
      <pivotArea dataOnly="0" labelOnly="1" outline="0" fieldPosition="0">
        <references count="2">
          <reference field="0" count="1" selected="0">
            <x v="489"/>
          </reference>
          <reference field="1" count="1">
            <x v="122"/>
          </reference>
        </references>
      </pivotArea>
    </format>
    <format dxfId="1317">
      <pivotArea dataOnly="0" labelOnly="1" outline="0" fieldPosition="0">
        <references count="2">
          <reference field="0" count="1" selected="0">
            <x v="490"/>
          </reference>
          <reference field="1" count="1">
            <x v="58"/>
          </reference>
        </references>
      </pivotArea>
    </format>
    <format dxfId="1318">
      <pivotArea dataOnly="0" labelOnly="1" outline="0" fieldPosition="0">
        <references count="2">
          <reference field="0" count="1" selected="0">
            <x v="491"/>
          </reference>
          <reference field="1" count="1">
            <x v="61"/>
          </reference>
        </references>
      </pivotArea>
    </format>
    <format dxfId="1319">
      <pivotArea dataOnly="0" labelOnly="1" outline="0" fieldPosition="0">
        <references count="2">
          <reference field="0" count="1" selected="0">
            <x v="492"/>
          </reference>
          <reference field="1" count="1">
            <x v="84"/>
          </reference>
        </references>
      </pivotArea>
    </format>
    <format dxfId="1320">
      <pivotArea dataOnly="0" labelOnly="1" outline="0" fieldPosition="0">
        <references count="2">
          <reference field="0" count="1" selected="0">
            <x v="493"/>
          </reference>
          <reference field="1" count="1">
            <x v="151"/>
          </reference>
        </references>
      </pivotArea>
    </format>
    <format dxfId="1321">
      <pivotArea dataOnly="0" labelOnly="1" outline="0" fieldPosition="0">
        <references count="2">
          <reference field="0" count="1" selected="0">
            <x v="494"/>
          </reference>
          <reference field="1" count="1">
            <x v="149"/>
          </reference>
        </references>
      </pivotArea>
    </format>
    <format dxfId="1322">
      <pivotArea dataOnly="0" labelOnly="1" outline="0" fieldPosition="0">
        <references count="2">
          <reference field="0" count="1" selected="0">
            <x v="495"/>
          </reference>
          <reference field="1" count="1">
            <x v="100"/>
          </reference>
        </references>
      </pivotArea>
    </format>
    <format dxfId="1323">
      <pivotArea dataOnly="0" labelOnly="1" outline="0" fieldPosition="0">
        <references count="2">
          <reference field="0" count="1" selected="0">
            <x v="496"/>
          </reference>
          <reference field="1" count="1">
            <x v="155"/>
          </reference>
        </references>
      </pivotArea>
    </format>
    <format dxfId="1324">
      <pivotArea dataOnly="0" labelOnly="1" outline="0" fieldPosition="0">
        <references count="2">
          <reference field="0" count="1" selected="0">
            <x v="497"/>
          </reference>
          <reference field="1" count="1">
            <x v="32"/>
          </reference>
        </references>
      </pivotArea>
    </format>
    <format dxfId="1325">
      <pivotArea dataOnly="0" labelOnly="1" outline="0" fieldPosition="0">
        <references count="2">
          <reference field="0" count="1" selected="0">
            <x v="498"/>
          </reference>
          <reference field="1" count="1">
            <x v="113"/>
          </reference>
        </references>
      </pivotArea>
    </format>
    <format dxfId="1326">
      <pivotArea dataOnly="0" labelOnly="1" outline="0" fieldPosition="0">
        <references count="2">
          <reference field="0" count="1" selected="0">
            <x v="499"/>
          </reference>
          <reference field="1" count="1">
            <x v="72"/>
          </reference>
        </references>
      </pivotArea>
    </format>
    <format dxfId="1327">
      <pivotArea dataOnly="0" labelOnly="1" outline="0" fieldPosition="0">
        <references count="2">
          <reference field="0" count="1" selected="0">
            <x v="500"/>
          </reference>
          <reference field="1" count="1">
            <x v="42"/>
          </reference>
        </references>
      </pivotArea>
    </format>
    <format dxfId="1328">
      <pivotArea dataOnly="0" labelOnly="1" outline="0" fieldPosition="0">
        <references count="2">
          <reference field="0" count="1" selected="0">
            <x v="501"/>
          </reference>
          <reference field="1" count="1">
            <x v="16"/>
          </reference>
        </references>
      </pivotArea>
    </format>
    <format dxfId="1329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330">
      <pivotArea dataOnly="0" labelOnly="1" outline="0" fieldPosition="0">
        <references count="2">
          <reference field="0" count="1" selected="0">
            <x v="503"/>
          </reference>
          <reference field="1" count="1">
            <x v="41"/>
          </reference>
        </references>
      </pivotArea>
    </format>
    <format dxfId="1331">
      <pivotArea dataOnly="0" labelOnly="1" outline="0" fieldPosition="0">
        <references count="2">
          <reference field="0" count="1" selected="0">
            <x v="504"/>
          </reference>
          <reference field="1" count="1">
            <x v="135"/>
          </reference>
        </references>
      </pivotArea>
    </format>
    <format dxfId="1332">
      <pivotArea dataOnly="0" labelOnly="1" outline="0" fieldPosition="0">
        <references count="2">
          <reference field="0" count="1" selected="0">
            <x v="505"/>
          </reference>
          <reference field="1" count="1">
            <x v="118"/>
          </reference>
        </references>
      </pivotArea>
    </format>
    <format dxfId="1333">
      <pivotArea dataOnly="0" labelOnly="1" outline="0" fieldPosition="0">
        <references count="2">
          <reference field="0" count="1" selected="0">
            <x v="506"/>
          </reference>
          <reference field="1" count="1">
            <x v="65"/>
          </reference>
        </references>
      </pivotArea>
    </format>
    <format dxfId="1334">
      <pivotArea dataOnly="0" labelOnly="1" outline="0" fieldPosition="0">
        <references count="2">
          <reference field="0" count="1" selected="0">
            <x v="507"/>
          </reference>
          <reference field="1" count="1">
            <x v="125"/>
          </reference>
        </references>
      </pivotArea>
    </format>
    <format dxfId="1335">
      <pivotArea dataOnly="0" labelOnly="1" outline="0" fieldPosition="0">
        <references count="2">
          <reference field="0" count="1" selected="0">
            <x v="508"/>
          </reference>
          <reference field="1" count="1">
            <x v="43"/>
          </reference>
        </references>
      </pivotArea>
    </format>
    <format dxfId="1336">
      <pivotArea dataOnly="0" labelOnly="1" outline="0" fieldPosition="0">
        <references count="2">
          <reference field="0" count="1" selected="0">
            <x v="509"/>
          </reference>
          <reference field="1" count="1">
            <x v="148"/>
          </reference>
        </references>
      </pivotArea>
    </format>
    <format dxfId="1337">
      <pivotArea dataOnly="0" labelOnly="1" outline="0" fieldPosition="0">
        <references count="2">
          <reference field="0" count="1" selected="0">
            <x v="510"/>
          </reference>
          <reference field="1" count="1">
            <x v="98"/>
          </reference>
        </references>
      </pivotArea>
    </format>
    <format dxfId="1338">
      <pivotArea dataOnly="0" labelOnly="1" outline="0" fieldPosition="0">
        <references count="2">
          <reference field="0" count="1" selected="0">
            <x v="511"/>
          </reference>
          <reference field="1" count="1">
            <x v="114"/>
          </reference>
        </references>
      </pivotArea>
    </format>
    <format dxfId="1339">
      <pivotArea dataOnly="0" labelOnly="1" outline="0" fieldPosition="0">
        <references count="2">
          <reference field="0" count="1" selected="0">
            <x v="512"/>
          </reference>
          <reference field="1" count="1">
            <x v="30"/>
          </reference>
        </references>
      </pivotArea>
    </format>
    <format dxfId="1340">
      <pivotArea dataOnly="0" labelOnly="1" outline="0" fieldPosition="0">
        <references count="2">
          <reference field="0" count="1" selected="0">
            <x v="513"/>
          </reference>
          <reference field="1" count="1">
            <x v="82"/>
          </reference>
        </references>
      </pivotArea>
    </format>
    <format dxfId="1341">
      <pivotArea dataOnly="0" labelOnly="1" outline="0" fieldPosition="0">
        <references count="2">
          <reference field="0" count="1" selected="0">
            <x v="514"/>
          </reference>
          <reference field="1" count="1">
            <x v="146"/>
          </reference>
        </references>
      </pivotArea>
    </format>
    <format dxfId="1342">
      <pivotArea dataOnly="0" labelOnly="1" outline="0" fieldPosition="0">
        <references count="2">
          <reference field="0" count="1" selected="0">
            <x v="515"/>
          </reference>
          <reference field="1" count="1">
            <x v="37"/>
          </reference>
        </references>
      </pivotArea>
    </format>
    <format dxfId="1343">
      <pivotArea dataOnly="0" labelOnly="1" outline="0" fieldPosition="0">
        <references count="2">
          <reference field="0" count="1" selected="0">
            <x v="516"/>
          </reference>
          <reference field="1" count="1">
            <x v="154"/>
          </reference>
        </references>
      </pivotArea>
    </format>
    <format dxfId="1344">
      <pivotArea dataOnly="0" labelOnly="1" outline="0" fieldPosition="0">
        <references count="2">
          <reference field="0" count="1" selected="0">
            <x v="517"/>
          </reference>
          <reference field="1" count="1">
            <x v="75"/>
          </reference>
        </references>
      </pivotArea>
    </format>
    <format dxfId="1345">
      <pivotArea dataOnly="0" labelOnly="1" outline="0" fieldPosition="0">
        <references count="2">
          <reference field="0" count="1" selected="0">
            <x v="518"/>
          </reference>
          <reference field="1" count="1">
            <x v="60"/>
          </reference>
        </references>
      </pivotArea>
    </format>
    <format dxfId="1346">
      <pivotArea dataOnly="0" labelOnly="1" outline="0" fieldPosition="0">
        <references count="2">
          <reference field="0" count="1" selected="0">
            <x v="519"/>
          </reference>
          <reference field="1" count="1">
            <x v="61"/>
          </reference>
        </references>
      </pivotArea>
    </format>
    <format dxfId="1347">
      <pivotArea dataOnly="0" labelOnly="1" outline="0" fieldPosition="0">
        <references count="2">
          <reference field="0" count="1" selected="0">
            <x v="520"/>
          </reference>
          <reference field="1" count="1">
            <x v="84"/>
          </reference>
        </references>
      </pivotArea>
    </format>
    <format dxfId="1348">
      <pivotArea dataOnly="0" labelOnly="1" outline="0" fieldPosition="0">
        <references count="2">
          <reference field="0" count="1" selected="0">
            <x v="521"/>
          </reference>
          <reference field="1" count="1">
            <x v="151"/>
          </reference>
        </references>
      </pivotArea>
    </format>
    <format dxfId="1349">
      <pivotArea dataOnly="0" labelOnly="1" outline="0" fieldPosition="0">
        <references count="2">
          <reference field="0" count="1" selected="0">
            <x v="522"/>
          </reference>
          <reference field="1" count="1">
            <x v="149"/>
          </reference>
        </references>
      </pivotArea>
    </format>
    <format dxfId="1350">
      <pivotArea dataOnly="0" labelOnly="1" outline="0" fieldPosition="0">
        <references count="2">
          <reference field="0" count="1" selected="0">
            <x v="523"/>
          </reference>
          <reference field="1" count="1">
            <x v="64"/>
          </reference>
        </references>
      </pivotArea>
    </format>
    <format dxfId="1351">
      <pivotArea dataOnly="0" labelOnly="1" outline="0" fieldPosition="0">
        <references count="2">
          <reference field="0" count="1" selected="0">
            <x v="524"/>
          </reference>
          <reference field="1" count="1">
            <x v="52"/>
          </reference>
        </references>
      </pivotArea>
    </format>
    <format dxfId="1352">
      <pivotArea dataOnly="0" labelOnly="1" outline="0" fieldPosition="0">
        <references count="2">
          <reference field="0" count="1" selected="0">
            <x v="525"/>
          </reference>
          <reference field="1" count="1">
            <x v="71"/>
          </reference>
        </references>
      </pivotArea>
    </format>
    <format dxfId="1353">
      <pivotArea dataOnly="0" labelOnly="1" outline="0" fieldPosition="0">
        <references count="2">
          <reference field="0" count="1" selected="0">
            <x v="526"/>
          </reference>
          <reference field="1" count="1">
            <x v="157"/>
          </reference>
        </references>
      </pivotArea>
    </format>
    <format dxfId="1354">
      <pivotArea dataOnly="0" labelOnly="1" outline="0" fieldPosition="0">
        <references count="2">
          <reference field="0" count="1" selected="0">
            <x v="527"/>
          </reference>
          <reference field="1" count="1">
            <x v="113"/>
          </reference>
        </references>
      </pivotArea>
    </format>
    <format dxfId="1355">
      <pivotArea dataOnly="0" labelOnly="1" outline="0" fieldPosition="0">
        <references count="2">
          <reference field="0" count="1" selected="0">
            <x v="528"/>
          </reference>
          <reference field="1" count="1">
            <x v="72"/>
          </reference>
        </references>
      </pivotArea>
    </format>
    <format dxfId="1356">
      <pivotArea dataOnly="0" labelOnly="1" outline="0" fieldPosition="0">
        <references count="2">
          <reference field="0" count="1" selected="0">
            <x v="529"/>
          </reference>
          <reference field="1" count="1">
            <x v="16"/>
          </reference>
        </references>
      </pivotArea>
    </format>
    <format dxfId="1357">
      <pivotArea dataOnly="0" labelOnly="1" outline="0" fieldPosition="0">
        <references count="2">
          <reference field="0" count="1" selected="0">
            <x v="530"/>
          </reference>
          <reference field="1" count="1">
            <x v="76"/>
          </reference>
        </references>
      </pivotArea>
    </format>
    <format dxfId="1358">
      <pivotArea dataOnly="0" labelOnly="1" outline="0" fieldPosition="0">
        <references count="2">
          <reference field="0" count="1" selected="0">
            <x v="531"/>
          </reference>
          <reference field="1" count="1">
            <x v="41"/>
          </reference>
        </references>
      </pivotArea>
    </format>
    <format dxfId="1359">
      <pivotArea dataOnly="0" labelOnly="1" outline="0" fieldPosition="0">
        <references count="2">
          <reference field="0" count="1" selected="0">
            <x v="532"/>
          </reference>
          <reference field="1" count="1">
            <x v="135"/>
          </reference>
        </references>
      </pivotArea>
    </format>
    <format dxfId="1360">
      <pivotArea dataOnly="0" labelOnly="1" outline="0" fieldPosition="0">
        <references count="2">
          <reference field="0" count="1" selected="0">
            <x v="533"/>
          </reference>
          <reference field="1" count="1">
            <x v="118"/>
          </reference>
        </references>
      </pivotArea>
    </format>
    <format dxfId="1361">
      <pivotArea dataOnly="0" labelOnly="1" outline="0" fieldPosition="0">
        <references count="2">
          <reference field="0" count="1" selected="0">
            <x v="534"/>
          </reference>
          <reference field="1" count="1">
            <x v="65"/>
          </reference>
        </references>
      </pivotArea>
    </format>
    <format dxfId="1362">
      <pivotArea dataOnly="0" labelOnly="1" outline="0" fieldPosition="0">
        <references count="2">
          <reference field="0" count="1" selected="0">
            <x v="535"/>
          </reference>
          <reference field="1" count="1">
            <x v="142"/>
          </reference>
        </references>
      </pivotArea>
    </format>
    <format dxfId="1363">
      <pivotArea dataOnly="0" labelOnly="1" outline="0" fieldPosition="0">
        <references count="2">
          <reference field="0" count="1" selected="0">
            <x v="536"/>
          </reference>
          <reference field="1" count="1">
            <x v="125"/>
          </reference>
        </references>
      </pivotArea>
    </format>
    <format dxfId="1364">
      <pivotArea dataOnly="0" labelOnly="1" outline="0" fieldPosition="0">
        <references count="2">
          <reference field="0" count="1" selected="0">
            <x v="537"/>
          </reference>
          <reference field="1" count="1">
            <x v="43"/>
          </reference>
        </references>
      </pivotArea>
    </format>
    <format dxfId="1365">
      <pivotArea dataOnly="0" labelOnly="1" outline="0" fieldPosition="0">
        <references count="2">
          <reference field="0" count="1" selected="0">
            <x v="538"/>
          </reference>
          <reference field="1" count="1">
            <x v="148"/>
          </reference>
        </references>
      </pivotArea>
    </format>
    <format dxfId="1366">
      <pivotArea dataOnly="0" labelOnly="1" outline="0" fieldPosition="0">
        <references count="2">
          <reference field="0" count="1" selected="0">
            <x v="539"/>
          </reference>
          <reference field="1" count="1">
            <x v="81"/>
          </reference>
        </references>
      </pivotArea>
    </format>
    <format dxfId="1367">
      <pivotArea dataOnly="0" labelOnly="1" outline="0" fieldPosition="0">
        <references count="2">
          <reference field="0" count="1" selected="0">
            <x v="540"/>
          </reference>
          <reference field="1" count="1">
            <x v="37"/>
          </reference>
        </references>
      </pivotArea>
    </format>
    <format dxfId="1368">
      <pivotArea dataOnly="0" labelOnly="1" outline="0" fieldPosition="0">
        <references count="2">
          <reference field="0" count="1" selected="0">
            <x v="541"/>
          </reference>
          <reference field="1" count="1">
            <x v="75"/>
          </reference>
        </references>
      </pivotArea>
    </format>
    <format dxfId="1369">
      <pivotArea dataOnly="0" labelOnly="1" outline="0" fieldPosition="0">
        <references count="2">
          <reference field="0" count="1" selected="0">
            <x v="542"/>
          </reference>
          <reference field="1" count="1">
            <x v="95"/>
          </reference>
        </references>
      </pivotArea>
    </format>
    <format dxfId="1370">
      <pivotArea dataOnly="0" labelOnly="1" outline="0" fieldPosition="0">
        <references count="2">
          <reference field="0" count="1" selected="0">
            <x v="543"/>
          </reference>
          <reference field="1" count="1">
            <x v="57"/>
          </reference>
        </references>
      </pivotArea>
    </format>
    <format dxfId="1371">
      <pivotArea dataOnly="0" labelOnly="1" outline="0" fieldPosition="0">
        <references count="2">
          <reference field="0" count="1" selected="0">
            <x v="544"/>
          </reference>
          <reference field="1" count="1">
            <x v="149"/>
          </reference>
        </references>
      </pivotArea>
    </format>
    <format dxfId="1372">
      <pivotArea dataOnly="0" labelOnly="1" outline="0" fieldPosition="0">
        <references count="2">
          <reference field="0" count="1" selected="0">
            <x v="545"/>
          </reference>
          <reference field="1" count="1">
            <x v="72"/>
          </reference>
        </references>
      </pivotArea>
    </format>
    <format dxfId="1373">
      <pivotArea dataOnly="0" labelOnly="1" outline="0" fieldPosition="0">
        <references count="2">
          <reference field="0" count="1" selected="0">
            <x v="546"/>
          </reference>
          <reference field="1" count="1">
            <x v="42"/>
          </reference>
        </references>
      </pivotArea>
    </format>
    <format dxfId="1374">
      <pivotArea dataOnly="0" labelOnly="1" outline="0" fieldPosition="0">
        <references count="2">
          <reference field="0" count="1" selected="0">
            <x v="547"/>
          </reference>
          <reference field="1" count="1">
            <x v="16"/>
          </reference>
        </references>
      </pivotArea>
    </format>
    <format dxfId="1375">
      <pivotArea dataOnly="0" labelOnly="1" outline="0" fieldPosition="0">
        <references count="2">
          <reference field="0" count="1" selected="0">
            <x v="548"/>
          </reference>
          <reference field="1" count="1">
            <x v="2"/>
          </reference>
        </references>
      </pivotArea>
    </format>
    <format dxfId="1376">
      <pivotArea dataOnly="0" labelOnly="1" outline="0" fieldPosition="0">
        <references count="2">
          <reference field="0" count="1" selected="0">
            <x v="549"/>
          </reference>
          <reference field="1" count="1">
            <x v="41"/>
          </reference>
        </references>
      </pivotArea>
    </format>
    <format dxfId="1377">
      <pivotArea dataOnly="0" labelOnly="1" outline="0" fieldPosition="0">
        <references count="2">
          <reference field="0" count="1" selected="0">
            <x v="550"/>
          </reference>
          <reference field="1" count="1">
            <x v="135"/>
          </reference>
        </references>
      </pivotArea>
    </format>
    <format dxfId="1378">
      <pivotArea dataOnly="0" labelOnly="1" outline="0" fieldPosition="0">
        <references count="2">
          <reference field="0" count="1" selected="0">
            <x v="551"/>
          </reference>
          <reference field="1" count="1">
            <x v="118"/>
          </reference>
        </references>
      </pivotArea>
    </format>
    <format dxfId="1379">
      <pivotArea dataOnly="0" labelOnly="1" outline="0" fieldPosition="0">
        <references count="2">
          <reference field="0" count="1" selected="0">
            <x v="552"/>
          </reference>
          <reference field="1" count="1">
            <x v="65"/>
          </reference>
        </references>
      </pivotArea>
    </format>
    <format dxfId="1380">
      <pivotArea dataOnly="0" labelOnly="1" outline="0" fieldPosition="0">
        <references count="2">
          <reference field="0" count="1" selected="0">
            <x v="553"/>
          </reference>
          <reference field="1" count="1">
            <x v="142"/>
          </reference>
        </references>
      </pivotArea>
    </format>
    <format dxfId="1381">
      <pivotArea dataOnly="0" labelOnly="1" outline="0" fieldPosition="0">
        <references count="2">
          <reference field="0" count="1" selected="0">
            <x v="554"/>
          </reference>
          <reference field="1" count="1">
            <x v="54"/>
          </reference>
        </references>
      </pivotArea>
    </format>
    <format dxfId="1382">
      <pivotArea dataOnly="0" labelOnly="1" outline="0" fieldPosition="0">
        <references count="2">
          <reference field="0" count="1" selected="0">
            <x v="555"/>
          </reference>
          <reference field="1" count="1">
            <x v="148"/>
          </reference>
        </references>
      </pivotArea>
    </format>
    <format dxfId="1383">
      <pivotArea dataOnly="0" labelOnly="1" outline="0" fieldPosition="0">
        <references count="2">
          <reference field="0" count="1" selected="0">
            <x v="556"/>
          </reference>
          <reference field="1" count="1">
            <x v="82"/>
          </reference>
        </references>
      </pivotArea>
    </format>
    <format dxfId="1384">
      <pivotArea dataOnly="0" labelOnly="1" outline="0" fieldPosition="0">
        <references count="2">
          <reference field="0" count="1" selected="0">
            <x v="557"/>
          </reference>
          <reference field="1" count="1">
            <x v="146"/>
          </reference>
        </references>
      </pivotArea>
    </format>
    <format dxfId="1385">
      <pivotArea dataOnly="0" labelOnly="1" outline="0" fieldPosition="0">
        <references count="2">
          <reference field="0" count="1" selected="0">
            <x v="558"/>
          </reference>
          <reference field="1" count="1">
            <x v="8"/>
          </reference>
        </references>
      </pivotArea>
    </format>
    <format dxfId="1386">
      <pivotArea dataOnly="0" labelOnly="1" outline="0" fieldPosition="0">
        <references count="2">
          <reference field="0" count="1" selected="0">
            <x v="559"/>
          </reference>
          <reference field="1" count="1">
            <x v="154"/>
          </reference>
        </references>
      </pivotArea>
    </format>
    <format dxfId="1387">
      <pivotArea dataOnly="0" labelOnly="1" outline="0" fieldPosition="0">
        <references count="2">
          <reference field="0" count="1" selected="0">
            <x v="560"/>
          </reference>
          <reference field="1" count="1">
            <x v="75"/>
          </reference>
        </references>
      </pivotArea>
    </format>
    <format dxfId="1388">
      <pivotArea dataOnly="0" labelOnly="1" outline="0" fieldPosition="0">
        <references count="2">
          <reference field="0" count="1" selected="0">
            <x v="561"/>
          </reference>
          <reference field="1" count="1">
            <x v="61"/>
          </reference>
        </references>
      </pivotArea>
    </format>
    <format dxfId="1389">
      <pivotArea dataOnly="0" labelOnly="1" outline="0" fieldPosition="0">
        <references count="2">
          <reference field="0" count="1" selected="0">
            <x v="562"/>
          </reference>
          <reference field="1" count="1">
            <x v="62"/>
          </reference>
        </references>
      </pivotArea>
    </format>
    <format dxfId="1390">
      <pivotArea dataOnly="0" labelOnly="1" outline="0" fieldPosition="0">
        <references count="2">
          <reference field="0" count="1" selected="0">
            <x v="563"/>
          </reference>
          <reference field="1" count="1">
            <x v="151"/>
          </reference>
        </references>
      </pivotArea>
    </format>
    <format dxfId="1391">
      <pivotArea dataOnly="0" labelOnly="1" outline="0" fieldPosition="0">
        <references count="2">
          <reference field="0" count="1" selected="0">
            <x v="564"/>
          </reference>
          <reference field="1" count="1">
            <x v="149"/>
          </reference>
        </references>
      </pivotArea>
    </format>
    <format dxfId="1392">
      <pivotArea dataOnly="0" labelOnly="1" outline="0" fieldPosition="0">
        <references count="2">
          <reference field="0" count="1" selected="0">
            <x v="565"/>
          </reference>
          <reference field="1" count="1">
            <x v="155"/>
          </reference>
        </references>
      </pivotArea>
    </format>
    <format dxfId="1393">
      <pivotArea dataOnly="0" labelOnly="1" outline="0" fieldPosition="0">
        <references count="2">
          <reference field="0" count="1" selected="0">
            <x v="566"/>
          </reference>
          <reference field="1" count="1">
            <x v="64"/>
          </reference>
        </references>
      </pivotArea>
    </format>
    <format dxfId="1394">
      <pivotArea dataOnly="0" labelOnly="1" outline="0" fieldPosition="0">
        <references count="2">
          <reference field="0" count="1" selected="0">
            <x v="567"/>
          </reference>
          <reference field="1" count="1">
            <x v="157"/>
          </reference>
        </references>
      </pivotArea>
    </format>
    <format dxfId="1395">
      <pivotArea dataOnly="0" labelOnly="1" outline="0" fieldPosition="0">
        <references count="2">
          <reference field="0" count="1" selected="0">
            <x v="568"/>
          </reference>
          <reference field="1" count="1">
            <x v="72"/>
          </reference>
        </references>
      </pivotArea>
    </format>
    <format dxfId="1396">
      <pivotArea dataOnly="0" labelOnly="1" outline="0" fieldPosition="0">
        <references count="2">
          <reference field="0" count="1" selected="0">
            <x v="569"/>
          </reference>
          <reference field="1" count="1">
            <x v="42"/>
          </reference>
        </references>
      </pivotArea>
    </format>
    <format dxfId="1397">
      <pivotArea dataOnly="0" labelOnly="1" outline="0" fieldPosition="0">
        <references count="2">
          <reference field="0" count="1" selected="0">
            <x v="570"/>
          </reference>
          <reference field="1" count="1">
            <x v="16"/>
          </reference>
        </references>
      </pivotArea>
    </format>
    <format dxfId="1398">
      <pivotArea dataOnly="0" labelOnly="1" outline="0" fieldPosition="0">
        <references count="2">
          <reference field="0" count="1" selected="0">
            <x v="571"/>
          </reference>
          <reference field="1" count="1">
            <x v="2"/>
          </reference>
        </references>
      </pivotArea>
    </format>
    <format dxfId="1399">
      <pivotArea dataOnly="0" labelOnly="1" outline="0" fieldPosition="0">
        <references count="2">
          <reference field="0" count="1" selected="0">
            <x v="572"/>
          </reference>
          <reference field="1" count="1">
            <x v="41"/>
          </reference>
        </references>
      </pivotArea>
    </format>
    <format dxfId="1400">
      <pivotArea dataOnly="0" labelOnly="1" outline="0" fieldPosition="0">
        <references count="2">
          <reference field="0" count="1" selected="0">
            <x v="573"/>
          </reference>
          <reference field="1" count="1">
            <x v="135"/>
          </reference>
        </references>
      </pivotArea>
    </format>
    <format dxfId="1401">
      <pivotArea dataOnly="0" labelOnly="1" outline="0" fieldPosition="0">
        <references count="2">
          <reference field="0" count="1" selected="0">
            <x v="574"/>
          </reference>
          <reference field="1" count="1">
            <x v="118"/>
          </reference>
        </references>
      </pivotArea>
    </format>
    <format dxfId="1402">
      <pivotArea dataOnly="0" labelOnly="1" outline="0" fieldPosition="0">
        <references count="2">
          <reference field="0" count="1" selected="0">
            <x v="575"/>
          </reference>
          <reference field="1" count="1">
            <x v="65"/>
          </reference>
        </references>
      </pivotArea>
    </format>
    <format dxfId="1403">
      <pivotArea dataOnly="0" labelOnly="1" outline="0" fieldPosition="0">
        <references count="2">
          <reference field="0" count="1" selected="0">
            <x v="576"/>
          </reference>
          <reference field="1" count="1">
            <x v="125"/>
          </reference>
        </references>
      </pivotArea>
    </format>
    <format dxfId="1404">
      <pivotArea dataOnly="0" labelOnly="1" outline="0" fieldPosition="0">
        <references count="2">
          <reference field="0" count="1" selected="0">
            <x v="577"/>
          </reference>
          <reference field="1" count="1">
            <x v="148"/>
          </reference>
        </references>
      </pivotArea>
    </format>
    <format dxfId="1405">
      <pivotArea dataOnly="0" labelOnly="1" outline="0" fieldPosition="0">
        <references count="2">
          <reference field="0" count="1" selected="0">
            <x v="578"/>
          </reference>
          <reference field="1" count="1">
            <x v="82"/>
          </reference>
        </references>
      </pivotArea>
    </format>
    <format dxfId="1406">
      <pivotArea dataOnly="0" labelOnly="1" outline="0" fieldPosition="0">
        <references count="2">
          <reference field="0" count="1" selected="0">
            <x v="579"/>
          </reference>
          <reference field="1" count="1">
            <x v="129"/>
          </reference>
        </references>
      </pivotArea>
    </format>
    <format dxfId="1407">
      <pivotArea dataOnly="0" labelOnly="1" outline="0" fieldPosition="0">
        <references count="2">
          <reference field="0" count="1" selected="0">
            <x v="580"/>
          </reference>
          <reference field="1" count="1">
            <x v="154"/>
          </reference>
        </references>
      </pivotArea>
    </format>
    <format dxfId="1408">
      <pivotArea dataOnly="0" labelOnly="1" outline="0" fieldPosition="0">
        <references count="2">
          <reference field="0" count="1" selected="0">
            <x v="581"/>
          </reference>
          <reference field="1" count="1">
            <x v="75"/>
          </reference>
        </references>
      </pivotArea>
    </format>
    <format dxfId="1409">
      <pivotArea dataOnly="0" labelOnly="1" outline="0" fieldPosition="0">
        <references count="2">
          <reference field="0" count="1" selected="0">
            <x v="582"/>
          </reference>
          <reference field="1" count="1">
            <x v="62"/>
          </reference>
        </references>
      </pivotArea>
    </format>
    <format dxfId="1410">
      <pivotArea dataOnly="0" labelOnly="1" outline="0" fieldPosition="0">
        <references count="2">
          <reference field="0" count="1" selected="0">
            <x v="583"/>
          </reference>
          <reference field="1" count="1">
            <x v="151"/>
          </reference>
        </references>
      </pivotArea>
    </format>
    <format dxfId="1411">
      <pivotArea dataOnly="0" labelOnly="1" outline="0" fieldPosition="0">
        <references count="2">
          <reference field="0" count="1" selected="0">
            <x v="584"/>
          </reference>
          <reference field="1" count="1">
            <x v="149"/>
          </reference>
        </references>
      </pivotArea>
    </format>
    <format dxfId="1412">
      <pivotArea dataOnly="0" labelOnly="1" outline="0" fieldPosition="0">
        <references count="2">
          <reference field="0" count="1" selected="0">
            <x v="585"/>
          </reference>
          <reference field="1" count="1">
            <x v="155"/>
          </reference>
        </references>
      </pivotArea>
    </format>
    <format dxfId="1413">
      <pivotArea dataOnly="0" labelOnly="1" outline="0" fieldPosition="0">
        <references count="2">
          <reference field="0" count="1" selected="0">
            <x v="586"/>
          </reference>
          <reference field="1" count="1">
            <x v="64"/>
          </reference>
        </references>
      </pivotArea>
    </format>
    <format dxfId="1414">
      <pivotArea dataOnly="0" labelOnly="1" outline="0" fieldPosition="0">
        <references count="2">
          <reference field="0" count="1" selected="0">
            <x v="587"/>
          </reference>
          <reference field="1" count="1">
            <x v="68"/>
          </reference>
        </references>
      </pivotArea>
    </format>
    <format dxfId="1415">
      <pivotArea dataOnly="0" labelOnly="1" outline="0" fieldPosition="0">
        <references count="2">
          <reference field="0" count="1" selected="0">
            <x v="588"/>
          </reference>
          <reference field="1" count="1">
            <x v="157"/>
          </reference>
        </references>
      </pivotArea>
    </format>
    <format dxfId="1416">
      <pivotArea dataOnly="0" labelOnly="1" outline="0" fieldPosition="0">
        <references count="2">
          <reference field="0" count="1" selected="0">
            <x v="589"/>
          </reference>
          <reference field="1" count="1">
            <x v="72"/>
          </reference>
        </references>
      </pivotArea>
    </format>
    <format dxfId="1417">
      <pivotArea dataOnly="0" labelOnly="1" outline="0" fieldPosition="0">
        <references count="2">
          <reference field="0" count="1" selected="0">
            <x v="590"/>
          </reference>
          <reference field="1" count="1">
            <x v="42"/>
          </reference>
        </references>
      </pivotArea>
    </format>
    <format dxfId="1418">
      <pivotArea dataOnly="0" labelOnly="1" outline="0" fieldPosition="0">
        <references count="2">
          <reference field="0" count="1" selected="0">
            <x v="591"/>
          </reference>
          <reference field="1" count="1">
            <x v="16"/>
          </reference>
        </references>
      </pivotArea>
    </format>
    <format dxfId="1419">
      <pivotArea dataOnly="0" labelOnly="1" outline="0" fieldPosition="0">
        <references count="2">
          <reference field="0" count="1" selected="0">
            <x v="592"/>
          </reference>
          <reference field="1" count="1">
            <x v="41"/>
          </reference>
        </references>
      </pivotArea>
    </format>
    <format dxfId="1420">
      <pivotArea dataOnly="0" labelOnly="1" outline="0" fieldPosition="0">
        <references count="2">
          <reference field="0" count="1" selected="0">
            <x v="593"/>
          </reference>
          <reference field="1" count="1">
            <x v="135"/>
          </reference>
        </references>
      </pivotArea>
    </format>
    <format dxfId="1421">
      <pivotArea dataOnly="0" labelOnly="1" outline="0" fieldPosition="0">
        <references count="2">
          <reference field="0" count="1" selected="0">
            <x v="594"/>
          </reference>
          <reference field="1" count="1">
            <x v="118"/>
          </reference>
        </references>
      </pivotArea>
    </format>
    <format dxfId="1422">
      <pivotArea dataOnly="0" labelOnly="1" outline="0" fieldPosition="0">
        <references count="2">
          <reference field="0" count="1" selected="0">
            <x v="595"/>
          </reference>
          <reference field="1" count="1">
            <x v="65"/>
          </reference>
        </references>
      </pivotArea>
    </format>
    <format dxfId="1423">
      <pivotArea dataOnly="0" labelOnly="1" outline="0" fieldPosition="0">
        <references count="2">
          <reference field="0" count="1" selected="0">
            <x v="596"/>
          </reference>
          <reference field="1" count="1">
            <x v="148"/>
          </reference>
        </references>
      </pivotArea>
    </format>
    <format dxfId="1424">
      <pivotArea dataOnly="0" labelOnly="1" outline="0" fieldPosition="0">
        <references count="2">
          <reference field="0" count="1" selected="0">
            <x v="597"/>
          </reference>
          <reference field="1" count="1">
            <x v="98"/>
          </reference>
        </references>
      </pivotArea>
    </format>
    <format dxfId="1425">
      <pivotArea dataOnly="0" labelOnly="1" outline="0" fieldPosition="0">
        <references count="2">
          <reference field="0" count="1" selected="0">
            <x v="598"/>
          </reference>
          <reference field="1" count="1">
            <x v="82"/>
          </reference>
        </references>
      </pivotArea>
    </format>
    <format dxfId="1426">
      <pivotArea dataOnly="0" labelOnly="1" outline="0" fieldPosition="0">
        <references count="2">
          <reference field="0" count="1" selected="0">
            <x v="599"/>
          </reference>
          <reference field="1" count="1">
            <x v="81"/>
          </reference>
        </references>
      </pivotArea>
    </format>
    <format dxfId="1427">
      <pivotArea dataOnly="0" labelOnly="1" outline="0" fieldPosition="0">
        <references count="2">
          <reference field="0" count="1" selected="0">
            <x v="600"/>
          </reference>
          <reference field="1" count="1">
            <x v="37"/>
          </reference>
        </references>
      </pivotArea>
    </format>
    <format dxfId="1428">
      <pivotArea dataOnly="0" labelOnly="1" outline="0" fieldPosition="0">
        <references count="2">
          <reference field="0" count="1" selected="0">
            <x v="601"/>
          </reference>
          <reference field="1" count="1">
            <x v="154"/>
          </reference>
        </references>
      </pivotArea>
    </format>
    <format dxfId="1429">
      <pivotArea dataOnly="0" labelOnly="1" outline="0" fieldPosition="0">
        <references count="2">
          <reference field="0" count="1" selected="0">
            <x v="602"/>
          </reference>
          <reference field="1" count="1">
            <x v="75"/>
          </reference>
        </references>
      </pivotArea>
    </format>
    <format dxfId="1430">
      <pivotArea dataOnly="0" labelOnly="1" outline="0" fieldPosition="0">
        <references count="2">
          <reference field="0" count="1" selected="0">
            <x v="603"/>
          </reference>
          <reference field="1" count="1">
            <x v="62"/>
          </reference>
        </references>
      </pivotArea>
    </format>
    <format dxfId="1431">
      <pivotArea dataOnly="0" labelOnly="1" outline="0" fieldPosition="0">
        <references count="2">
          <reference field="0" count="1" selected="0">
            <x v="604"/>
          </reference>
          <reference field="1" count="1">
            <x v="151"/>
          </reference>
        </references>
      </pivotArea>
    </format>
    <format dxfId="1432">
      <pivotArea dataOnly="0" labelOnly="1" outline="0" fieldPosition="0">
        <references count="2">
          <reference field="0" count="1" selected="0">
            <x v="605"/>
          </reference>
          <reference field="1" count="1">
            <x v="155"/>
          </reference>
        </references>
      </pivotArea>
    </format>
    <format dxfId="1433">
      <pivotArea dataOnly="0" labelOnly="1" outline="0" fieldPosition="0">
        <references count="2">
          <reference field="0" count="1" selected="0">
            <x v="606"/>
          </reference>
          <reference field="1" count="1">
            <x v="28"/>
          </reference>
        </references>
      </pivotArea>
    </format>
    <format dxfId="1434">
      <pivotArea dataOnly="0" labelOnly="1" outline="0" fieldPosition="0">
        <references count="2">
          <reference field="0" count="1" selected="0">
            <x v="607"/>
          </reference>
          <reference field="1" count="1">
            <x v="69"/>
          </reference>
        </references>
      </pivotArea>
    </format>
    <format dxfId="1435">
      <pivotArea dataOnly="0" labelOnly="1" outline="0" fieldPosition="0">
        <references count="2">
          <reference field="0" count="1" selected="0">
            <x v="608"/>
          </reference>
          <reference field="1" count="1">
            <x v="132"/>
          </reference>
        </references>
      </pivotArea>
    </format>
    <format dxfId="1436">
      <pivotArea dataOnly="0" labelOnly="1" outline="0" fieldPosition="0">
        <references count="2">
          <reference field="0" count="1" selected="0">
            <x v="609"/>
          </reference>
          <reference field="1" count="1">
            <x v="53"/>
          </reference>
        </references>
      </pivotArea>
    </format>
    <format dxfId="1437">
      <pivotArea dataOnly="0" labelOnly="1" outline="0" fieldPosition="0">
        <references count="2">
          <reference field="0" count="1" selected="0">
            <x v="610"/>
          </reference>
          <reference field="1" count="1">
            <x v="113"/>
          </reference>
        </references>
      </pivotArea>
    </format>
    <format dxfId="1438">
      <pivotArea dataOnly="0" labelOnly="1" outline="0" fieldPosition="0">
        <references count="2">
          <reference field="0" count="1" selected="0">
            <x v="611"/>
          </reference>
          <reference field="1" count="1">
            <x v="72"/>
          </reference>
        </references>
      </pivotArea>
    </format>
    <format dxfId="1439">
      <pivotArea dataOnly="0" labelOnly="1" outline="0" fieldPosition="0">
        <references count="2">
          <reference field="0" count="1" selected="0">
            <x v="612"/>
          </reference>
          <reference field="1" count="1">
            <x v="16"/>
          </reference>
        </references>
      </pivotArea>
    </format>
    <format dxfId="1440">
      <pivotArea dataOnly="0" labelOnly="1" outline="0" fieldPosition="0">
        <references count="2">
          <reference field="0" count="1" selected="0">
            <x v="613"/>
          </reference>
          <reference field="1" count="1">
            <x v="48"/>
          </reference>
        </references>
      </pivotArea>
    </format>
    <format dxfId="1441">
      <pivotArea dataOnly="0" labelOnly="1" outline="0" fieldPosition="0">
        <references count="2">
          <reference field="0" count="1" selected="0">
            <x v="614"/>
          </reference>
          <reference field="1" count="1">
            <x v="104"/>
          </reference>
        </references>
      </pivotArea>
    </format>
    <format dxfId="1442">
      <pivotArea dataOnly="0" labelOnly="1" outline="0" fieldPosition="0">
        <references count="2">
          <reference field="0" count="1" selected="0">
            <x v="615"/>
          </reference>
          <reference field="1" count="1">
            <x v="16"/>
          </reference>
        </references>
      </pivotArea>
    </format>
    <format dxfId="1443">
      <pivotArea dataOnly="0" labelOnly="1" outline="0" fieldPosition="0">
        <references count="2">
          <reference field="0" count="1" selected="0">
            <x v="616"/>
          </reference>
          <reference field="1" count="1">
            <x v="48"/>
          </reference>
        </references>
      </pivotArea>
    </format>
    <format dxfId="1444">
      <pivotArea dataOnly="0" labelOnly="1" outline="0" fieldPosition="0">
        <references count="2">
          <reference field="0" count="1" selected="0">
            <x v="617"/>
          </reference>
          <reference field="1" count="1">
            <x v="41"/>
          </reference>
        </references>
      </pivotArea>
    </format>
    <format dxfId="1445">
      <pivotArea dataOnly="0" labelOnly="1" outline="0" fieldPosition="0">
        <references count="2">
          <reference field="0" count="1" selected="0">
            <x v="618"/>
          </reference>
          <reference field="1" count="1">
            <x v="125"/>
          </reference>
        </references>
      </pivotArea>
    </format>
    <format dxfId="1446">
      <pivotArea dataOnly="0" labelOnly="1" outline="0" fieldPosition="0">
        <references count="2">
          <reference field="0" count="1" selected="0">
            <x v="619"/>
          </reference>
          <reference field="1" count="1">
            <x v="138"/>
          </reference>
        </references>
      </pivotArea>
    </format>
    <format dxfId="1447">
      <pivotArea dataOnly="0" labelOnly="1" outline="0" fieldPosition="0">
        <references count="2">
          <reference field="0" count="1" selected="0">
            <x v="620"/>
          </reference>
          <reference field="1" count="1">
            <x v="16"/>
          </reference>
        </references>
      </pivotArea>
    </format>
    <format dxfId="1448">
      <pivotArea dataOnly="0" labelOnly="1" outline="0" fieldPosition="0">
        <references count="2">
          <reference field="0" count="1" selected="0">
            <x v="621"/>
          </reference>
          <reference field="1" count="1">
            <x v="48"/>
          </reference>
        </references>
      </pivotArea>
    </format>
    <format dxfId="1449">
      <pivotArea dataOnly="0" labelOnly="1" outline="0" fieldPosition="0">
        <references count="2">
          <reference field="0" count="1" selected="0">
            <x v="622"/>
          </reference>
          <reference field="1" count="1">
            <x v="41"/>
          </reference>
        </references>
      </pivotArea>
    </format>
    <format dxfId="1450">
      <pivotArea dataOnly="0" labelOnly="1" outline="0" fieldPosition="0">
        <references count="2">
          <reference field="0" count="1" selected="0">
            <x v="623"/>
          </reference>
          <reference field="1" count="1">
            <x v="43"/>
          </reference>
        </references>
      </pivotArea>
    </format>
    <format dxfId="1451">
      <pivotArea dataOnly="0" labelOnly="1" outline="0" fieldPosition="0">
        <references count="2">
          <reference field="0" count="1" selected="0">
            <x v="624"/>
          </reference>
          <reference field="1" count="1">
            <x v="151"/>
          </reference>
        </references>
      </pivotArea>
    </format>
    <format dxfId="1452">
      <pivotArea dataOnly="0" labelOnly="1" outline="0" fieldPosition="0">
        <references count="2">
          <reference field="0" count="1" selected="0">
            <x v="625"/>
          </reference>
          <reference field="1" count="1">
            <x v="72"/>
          </reference>
        </references>
      </pivotArea>
    </format>
    <format dxfId="1453">
      <pivotArea dataOnly="0" labelOnly="1" outline="0" fieldPosition="0">
        <references count="2">
          <reference field="0" count="1" selected="0">
            <x v="626"/>
          </reference>
          <reference field="1" count="1">
            <x v="42"/>
          </reference>
        </references>
      </pivotArea>
    </format>
    <format dxfId="1454">
      <pivotArea dataOnly="0" labelOnly="1" outline="0" fieldPosition="0">
        <references count="2">
          <reference field="0" count="1" selected="0">
            <x v="627"/>
          </reference>
          <reference field="1" count="1">
            <x v="16"/>
          </reference>
        </references>
      </pivotArea>
    </format>
    <format dxfId="1455">
      <pivotArea dataOnly="0" labelOnly="1" outline="0" fieldPosition="0">
        <references count="2">
          <reference field="0" count="1" selected="0">
            <x v="628"/>
          </reference>
          <reference field="1" count="1">
            <x v="2"/>
          </reference>
        </references>
      </pivotArea>
    </format>
    <format dxfId="1456">
      <pivotArea dataOnly="0" labelOnly="1" outline="0" fieldPosition="0">
        <references count="2">
          <reference field="0" count="1" selected="0">
            <x v="629"/>
          </reference>
          <reference field="1" count="1">
            <x v="41"/>
          </reference>
        </references>
      </pivotArea>
    </format>
    <format dxfId="1457">
      <pivotArea dataOnly="0" labelOnly="1" outline="0" fieldPosition="0">
        <references count="2">
          <reference field="0" count="1" selected="0">
            <x v="630"/>
          </reference>
          <reference field="1" count="1">
            <x v="135"/>
          </reference>
        </references>
      </pivotArea>
    </format>
    <format dxfId="1458">
      <pivotArea dataOnly="0" labelOnly="1" outline="0" fieldPosition="0">
        <references count="2">
          <reference field="0" count="1" selected="0">
            <x v="631"/>
          </reference>
          <reference field="1" count="1">
            <x v="118"/>
          </reference>
        </references>
      </pivotArea>
    </format>
    <format dxfId="1459">
      <pivotArea dataOnly="0" labelOnly="1" outline="0" fieldPosition="0">
        <references count="2">
          <reference field="0" count="1" selected="0">
            <x v="632"/>
          </reference>
          <reference field="1" count="1">
            <x v="65"/>
          </reference>
        </references>
      </pivotArea>
    </format>
    <format dxfId="1460">
      <pivotArea dataOnly="0" labelOnly="1" outline="0" fieldPosition="0">
        <references count="2">
          <reference field="0" count="1" selected="0">
            <x v="633"/>
          </reference>
          <reference field="1" count="1">
            <x v="148"/>
          </reference>
        </references>
      </pivotArea>
    </format>
    <format dxfId="1461">
      <pivotArea dataOnly="0" labelOnly="1" outline="0" fieldPosition="0">
        <references count="2">
          <reference field="0" count="1" selected="0">
            <x v="634"/>
          </reference>
          <reference field="1" count="1">
            <x v="82"/>
          </reference>
        </references>
      </pivotArea>
    </format>
    <format dxfId="1462">
      <pivotArea dataOnly="0" labelOnly="1" outline="0" fieldPosition="0">
        <references count="2">
          <reference field="0" count="1" selected="0">
            <x v="635"/>
          </reference>
          <reference field="1" count="1">
            <x v="75"/>
          </reference>
        </references>
      </pivotArea>
    </format>
    <format dxfId="1463">
      <pivotArea dataOnly="0" labelOnly="1" outline="0" fieldPosition="0">
        <references count="2">
          <reference field="0" count="1" selected="0">
            <x v="636"/>
          </reference>
          <reference field="1" count="1">
            <x v="72"/>
          </reference>
        </references>
      </pivotArea>
    </format>
    <format dxfId="1464">
      <pivotArea dataOnly="0" labelOnly="1" outline="0" fieldPosition="0">
        <references count="2">
          <reference field="0" count="1" selected="0">
            <x v="637"/>
          </reference>
          <reference field="1" count="1">
            <x v="16"/>
          </reference>
        </references>
      </pivotArea>
    </format>
    <format dxfId="1465">
      <pivotArea dataOnly="0" labelOnly="1" outline="0" fieldPosition="0">
        <references count="2">
          <reference field="0" count="1" selected="0">
            <x v="638"/>
          </reference>
          <reference field="1" count="1">
            <x v="48"/>
          </reference>
        </references>
      </pivotArea>
    </format>
    <format dxfId="1466">
      <pivotArea dataOnly="0" labelOnly="1" outline="0" fieldPosition="0">
        <references count="2">
          <reference field="0" count="1" selected="0">
            <x v="639"/>
          </reference>
          <reference field="1" count="1">
            <x v="41"/>
          </reference>
        </references>
      </pivotArea>
    </format>
    <format dxfId="1467">
      <pivotArea dataOnly="0" labelOnly="1" outline="0" fieldPosition="0">
        <references count="2">
          <reference field="0" count="1" selected="0">
            <x v="640"/>
          </reference>
          <reference field="1" count="1">
            <x v="135"/>
          </reference>
        </references>
      </pivotArea>
    </format>
    <format dxfId="1468">
      <pivotArea dataOnly="0" labelOnly="1" outline="0" fieldPosition="0">
        <references count="2">
          <reference field="0" count="1" selected="0">
            <x v="641"/>
          </reference>
          <reference field="1" count="1">
            <x v="118"/>
          </reference>
        </references>
      </pivotArea>
    </format>
    <format dxfId="1469">
      <pivotArea dataOnly="0" labelOnly="1" outline="0" fieldPosition="0">
        <references count="2">
          <reference field="0" count="1" selected="0">
            <x v="642"/>
          </reference>
          <reference field="1" count="1">
            <x v="65"/>
          </reference>
        </references>
      </pivotArea>
    </format>
    <format dxfId="1470">
      <pivotArea dataOnly="0" labelOnly="1" outline="0" fieldPosition="0">
        <references count="2">
          <reference field="0" count="1" selected="0">
            <x v="643"/>
          </reference>
          <reference field="1" count="1">
            <x v="75"/>
          </reference>
        </references>
      </pivotArea>
    </format>
    <format dxfId="1471">
      <pivotArea dataOnly="0" labelOnly="1" outline="0" fieldPosition="0">
        <references count="2">
          <reference field="0" count="1" selected="0">
            <x v="644"/>
          </reference>
          <reference field="1" count="1">
            <x v="151"/>
          </reference>
        </references>
      </pivotArea>
    </format>
    <format dxfId="1472">
      <pivotArea dataOnly="0" labelOnly="1" outline="0" fieldPosition="0">
        <references count="2">
          <reference field="0" count="1" selected="0">
            <x v="645"/>
          </reference>
          <reference field="1" count="1">
            <x v="72"/>
          </reference>
        </references>
      </pivotArea>
    </format>
    <format dxfId="1473">
      <pivotArea dataOnly="0" labelOnly="1" outline="0" fieldPosition="0">
        <references count="2">
          <reference field="0" count="1" selected="0">
            <x v="646"/>
          </reference>
          <reference field="1" count="1">
            <x v="42"/>
          </reference>
        </references>
      </pivotArea>
    </format>
    <format dxfId="1474">
      <pivotArea dataOnly="0" labelOnly="1" outline="0" fieldPosition="0">
        <references count="2">
          <reference field="0" count="1" selected="0">
            <x v="647"/>
          </reference>
          <reference field="1" count="1">
            <x v="16"/>
          </reference>
        </references>
      </pivotArea>
    </format>
    <format dxfId="1475">
      <pivotArea dataOnly="0" labelOnly="1" outline="0" fieldPosition="0">
        <references count="2">
          <reference field="0" count="1" selected="0">
            <x v="648"/>
          </reference>
          <reference field="1" count="1">
            <x v="41"/>
          </reference>
        </references>
      </pivotArea>
    </format>
    <format dxfId="1476">
      <pivotArea dataOnly="0" labelOnly="1" outline="0" fieldPosition="0">
        <references count="2">
          <reference field="0" count="1" selected="0">
            <x v="649"/>
          </reference>
          <reference field="1" count="1">
            <x v="135"/>
          </reference>
        </references>
      </pivotArea>
    </format>
    <format dxfId="1477">
      <pivotArea dataOnly="0" labelOnly="1" outline="0" fieldPosition="0">
        <references count="2">
          <reference field="0" count="1" selected="0">
            <x v="650"/>
          </reference>
          <reference field="1" count="1">
            <x v="118"/>
          </reference>
        </references>
      </pivotArea>
    </format>
    <format dxfId="1478">
      <pivotArea dataOnly="0" labelOnly="1" outline="0" fieldPosition="0">
        <references count="2">
          <reference field="0" count="1" selected="0">
            <x v="651"/>
          </reference>
          <reference field="1" count="1">
            <x v="65"/>
          </reference>
        </references>
      </pivotArea>
    </format>
    <format dxfId="1479">
      <pivotArea dataOnly="0" labelOnly="1" outline="0" fieldPosition="0">
        <references count="2">
          <reference field="0" count="1" selected="0">
            <x v="652"/>
          </reference>
          <reference field="1" count="1">
            <x v="148"/>
          </reference>
        </references>
      </pivotArea>
    </format>
    <format dxfId="1480">
      <pivotArea dataOnly="0" labelOnly="1" outline="0" fieldPosition="0">
        <references count="2">
          <reference field="0" count="1" selected="0">
            <x v="653"/>
          </reference>
          <reference field="1" count="1">
            <x v="82"/>
          </reference>
        </references>
      </pivotArea>
    </format>
    <format dxfId="1481">
      <pivotArea dataOnly="0" labelOnly="1" outline="0" fieldPosition="0">
        <references count="2">
          <reference field="0" count="1" selected="0">
            <x v="654"/>
          </reference>
          <reference field="1" count="1">
            <x v="140"/>
          </reference>
        </references>
      </pivotArea>
    </format>
    <format dxfId="1482">
      <pivotArea dataOnly="0" labelOnly="1" outline="0" fieldPosition="0">
        <references count="2">
          <reference field="0" count="1" selected="0">
            <x v="655"/>
          </reference>
          <reference field="1" count="1">
            <x v="151"/>
          </reference>
        </references>
      </pivotArea>
    </format>
    <format dxfId="1483">
      <pivotArea dataOnly="0" labelOnly="1" outline="0" fieldPosition="0">
        <references count="2">
          <reference field="0" count="1" selected="0">
            <x v="656"/>
          </reference>
          <reference field="1" count="1">
            <x v="149"/>
          </reference>
        </references>
      </pivotArea>
    </format>
    <format dxfId="1484">
      <pivotArea dataOnly="0" labelOnly="1" outline="0" fieldPosition="0">
        <references count="2">
          <reference field="0" count="1" selected="0">
            <x v="657"/>
          </reference>
          <reference field="1" count="1">
            <x v="138"/>
          </reference>
        </references>
      </pivotArea>
    </format>
    <format dxfId="1485">
      <pivotArea dataOnly="0" labelOnly="1" outline="0" fieldPosition="0">
        <references count="2">
          <reference field="0" count="1" selected="0">
            <x v="658"/>
          </reference>
          <reference field="1" count="1">
            <x v="72"/>
          </reference>
        </references>
      </pivotArea>
    </format>
    <format dxfId="1486">
      <pivotArea dataOnly="0" labelOnly="1" outline="0" fieldPosition="0">
        <references count="2">
          <reference field="0" count="1" selected="0">
            <x v="659"/>
          </reference>
          <reference field="1" count="1">
            <x v="16"/>
          </reference>
        </references>
      </pivotArea>
    </format>
    <format dxfId="1487">
      <pivotArea dataOnly="0" labelOnly="1" outline="0" fieldPosition="0">
        <references count="2">
          <reference field="0" count="1" selected="0">
            <x v="660"/>
          </reference>
          <reference field="1" count="1">
            <x v="48"/>
          </reference>
        </references>
      </pivotArea>
    </format>
    <format dxfId="1488">
      <pivotArea dataOnly="0" labelOnly="1" outline="0" fieldPosition="0">
        <references count="2">
          <reference field="0" count="1" selected="0">
            <x v="661"/>
          </reference>
          <reference field="1" count="1">
            <x v="41"/>
          </reference>
        </references>
      </pivotArea>
    </format>
    <format dxfId="1489">
      <pivotArea dataOnly="0" labelOnly="1" outline="0" fieldPosition="0">
        <references count="2">
          <reference field="0" count="1" selected="0">
            <x v="662"/>
          </reference>
          <reference field="1" count="1">
            <x v="135"/>
          </reference>
        </references>
      </pivotArea>
    </format>
    <format dxfId="1490">
      <pivotArea dataOnly="0" labelOnly="1" outline="0" fieldPosition="0">
        <references count="2">
          <reference field="0" count="1" selected="0">
            <x v="663"/>
          </reference>
          <reference field="1" count="1">
            <x v="118"/>
          </reference>
        </references>
      </pivotArea>
    </format>
    <format dxfId="1491">
      <pivotArea dataOnly="0" labelOnly="1" outline="0" fieldPosition="0">
        <references count="2">
          <reference field="0" count="1" selected="0">
            <x v="664"/>
          </reference>
          <reference field="1" count="1">
            <x v="54"/>
          </reference>
        </references>
      </pivotArea>
    </format>
    <format dxfId="1492">
      <pivotArea dataOnly="0" labelOnly="1" outline="0" fieldPosition="0">
        <references count="2">
          <reference field="0" count="1" selected="0">
            <x v="665"/>
          </reference>
          <reference field="1" count="1">
            <x v="148"/>
          </reference>
        </references>
      </pivotArea>
    </format>
    <format dxfId="1493">
      <pivotArea dataOnly="0" labelOnly="1" outline="0" fieldPosition="0">
        <references count="2">
          <reference field="0" count="1" selected="0">
            <x v="666"/>
          </reference>
          <reference field="1" count="1">
            <x v="112"/>
          </reference>
        </references>
      </pivotArea>
    </format>
    <format dxfId="1494">
      <pivotArea dataOnly="0" labelOnly="1" outline="0" fieldPosition="0">
        <references count="2">
          <reference field="0" count="1" selected="0">
            <x v="667"/>
          </reference>
          <reference field="1" count="1">
            <x v="151"/>
          </reference>
        </references>
      </pivotArea>
    </format>
    <format dxfId="1495">
      <pivotArea dataOnly="0" labelOnly="1" outline="0" fieldPosition="0">
        <references count="2">
          <reference field="0" count="1" selected="0">
            <x v="668"/>
          </reference>
          <reference field="1" count="1">
            <x v="16"/>
          </reference>
        </references>
      </pivotArea>
    </format>
    <format dxfId="1496">
      <pivotArea dataOnly="0" labelOnly="1" outline="0" fieldPosition="0">
        <references count="2">
          <reference field="0" count="1" selected="0">
            <x v="669"/>
          </reference>
          <reference field="1" count="1">
            <x v="48"/>
          </reference>
        </references>
      </pivotArea>
    </format>
    <format dxfId="1497">
      <pivotArea dataOnly="0" labelOnly="1" outline="0" fieldPosition="0">
        <references count="2">
          <reference field="0" count="1" selected="0">
            <x v="670"/>
          </reference>
          <reference field="1" count="1">
            <x v="41"/>
          </reference>
        </references>
      </pivotArea>
    </format>
    <format dxfId="1498">
      <pivotArea dataOnly="0" labelOnly="1" outline="0" fieldPosition="0">
        <references count="2">
          <reference field="0" count="1" selected="0">
            <x v="671"/>
          </reference>
          <reference field="1" count="1">
            <x v="142"/>
          </reference>
        </references>
      </pivotArea>
    </format>
    <format dxfId="1499">
      <pivotArea dataOnly="0" labelOnly="1" outline="0" fieldPosition="0">
        <references count="2">
          <reference field="0" count="1" selected="0">
            <x v="672"/>
          </reference>
          <reference field="1" count="1">
            <x v="151"/>
          </reference>
        </references>
      </pivotArea>
    </format>
    <format dxfId="1500">
      <pivotArea dataOnly="0" labelOnly="1" outline="0" fieldPosition="0">
        <references count="2">
          <reference field="0" count="1" selected="0">
            <x v="673"/>
          </reference>
          <reference field="1" count="1">
            <x v="155"/>
          </reference>
        </references>
      </pivotArea>
    </format>
    <format dxfId="1501">
      <pivotArea dataOnly="0" labelOnly="1" outline="0" fieldPosition="0">
        <references count="2">
          <reference field="0" count="1" selected="0">
            <x v="674"/>
          </reference>
          <reference field="1" count="1">
            <x v="157"/>
          </reference>
        </references>
      </pivotArea>
    </format>
    <format dxfId="1502">
      <pivotArea dataOnly="0" labelOnly="1" outline="0" fieldPosition="0">
        <references count="2">
          <reference field="0" count="1" selected="0">
            <x v="675"/>
          </reference>
          <reference field="1" count="1">
            <x v="16"/>
          </reference>
        </references>
      </pivotArea>
    </format>
    <format dxfId="1503">
      <pivotArea dataOnly="0" labelOnly="1" outline="0" fieldPosition="0">
        <references count="2">
          <reference field="0" count="1" selected="0">
            <x v="676"/>
          </reference>
          <reference field="1" count="1">
            <x v="48"/>
          </reference>
        </references>
      </pivotArea>
    </format>
    <format dxfId="1504">
      <pivotArea dataOnly="0" labelOnly="1" outline="0" fieldPosition="0">
        <references count="2">
          <reference field="0" count="1" selected="0">
            <x v="677"/>
          </reference>
          <reference field="1" count="1">
            <x v="41"/>
          </reference>
        </references>
      </pivotArea>
    </format>
    <format dxfId="1505">
      <pivotArea dataOnly="0" labelOnly="1" outline="0" fieldPosition="0">
        <references count="2">
          <reference field="0" count="1" selected="0">
            <x v="678"/>
          </reference>
          <reference field="1" count="1">
            <x v="125"/>
          </reference>
        </references>
      </pivotArea>
    </format>
    <format dxfId="1506">
      <pivotArea dataOnly="0" labelOnly="1" outline="0" fieldPosition="0">
        <references count="2">
          <reference field="0" count="1" selected="0">
            <x v="679"/>
          </reference>
          <reference field="1" count="1">
            <x v="148"/>
          </reference>
        </references>
      </pivotArea>
    </format>
    <format dxfId="1507">
      <pivotArea dataOnly="0" labelOnly="1" outline="0" fieldPosition="0">
        <references count="2">
          <reference field="0" count="1" selected="0">
            <x v="680"/>
          </reference>
          <reference field="1" count="1">
            <x v="82"/>
          </reference>
        </references>
      </pivotArea>
    </format>
    <format dxfId="1508">
      <pivotArea dataOnly="0" labelOnly="1" outline="0" fieldPosition="0">
        <references count="2">
          <reference field="0" count="1" selected="0">
            <x v="681"/>
          </reference>
          <reference field="1" count="1">
            <x v="81"/>
          </reference>
        </references>
      </pivotArea>
    </format>
    <format dxfId="1509">
      <pivotArea dataOnly="0" labelOnly="1" outline="0" fieldPosition="0">
        <references count="2">
          <reference field="0" count="1" selected="0">
            <x v="682"/>
          </reference>
          <reference field="1" count="1">
            <x v="57"/>
          </reference>
        </references>
      </pivotArea>
    </format>
    <format dxfId="1510">
      <pivotArea dataOnly="0" labelOnly="1" outline="0" fieldPosition="0">
        <references count="2">
          <reference field="0" count="1" selected="0">
            <x v="683"/>
          </reference>
          <reference field="1" count="1">
            <x v="64"/>
          </reference>
        </references>
      </pivotArea>
    </format>
    <format dxfId="1511">
      <pivotArea dataOnly="0" labelOnly="1" outline="0" fieldPosition="0">
        <references count="2">
          <reference field="0" count="1" selected="0">
            <x v="684"/>
          </reference>
          <reference field="1" count="1">
            <x v="42"/>
          </reference>
        </references>
      </pivotArea>
    </format>
    <format dxfId="1512">
      <pivotArea dataOnly="0" labelOnly="1" outline="0" fieldPosition="0">
        <references count="2">
          <reference field="0" count="1" selected="0">
            <x v="685"/>
          </reference>
          <reference field="1" count="1">
            <x v="16"/>
          </reference>
        </references>
      </pivotArea>
    </format>
    <format dxfId="1513">
      <pivotArea dataOnly="0" labelOnly="1" outline="0" fieldPosition="0">
        <references count="2">
          <reference field="0" count="1" selected="0">
            <x v="686"/>
          </reference>
          <reference field="1" count="1">
            <x v="41"/>
          </reference>
        </references>
      </pivotArea>
    </format>
    <format dxfId="1514">
      <pivotArea dataOnly="0" labelOnly="1" outline="0" fieldPosition="0">
        <references count="2">
          <reference field="0" count="1" selected="0">
            <x v="687"/>
          </reference>
          <reference field="1" count="1">
            <x v="64"/>
          </reference>
        </references>
      </pivotArea>
    </format>
    <format dxfId="1515">
      <pivotArea dataOnly="0" labelOnly="1" outline="0" fieldPosition="0">
        <references count="2">
          <reference field="0" count="1" selected="0">
            <x v="688"/>
          </reference>
          <reference field="1" count="1">
            <x v="109"/>
          </reference>
        </references>
      </pivotArea>
    </format>
    <format dxfId="1516">
      <pivotArea dataOnly="0" labelOnly="1" outline="0" fieldPosition="0">
        <references count="2">
          <reference field="0" count="1" selected="0">
            <x v="689"/>
          </reference>
          <reference field="1" count="1">
            <x v="113"/>
          </reference>
        </references>
      </pivotArea>
    </format>
    <format dxfId="1517">
      <pivotArea dataOnly="0" labelOnly="1" outline="0" fieldPosition="0">
        <references count="2">
          <reference field="0" count="1" selected="0">
            <x v="690"/>
          </reference>
          <reference field="1" count="1">
            <x v="16"/>
          </reference>
        </references>
      </pivotArea>
    </format>
    <format dxfId="1518">
      <pivotArea dataOnly="0" labelOnly="1" outline="0" fieldPosition="0">
        <references count="2">
          <reference field="0" count="1" selected="0">
            <x v="691"/>
          </reference>
          <reference field="1" count="1">
            <x v="2"/>
          </reference>
        </references>
      </pivotArea>
    </format>
    <format dxfId="1519">
      <pivotArea dataOnly="0" labelOnly="1" outline="0" fieldPosition="0">
        <references count="2">
          <reference field="0" count="1" selected="0">
            <x v="692"/>
          </reference>
          <reference field="1" count="1">
            <x v="104"/>
          </reference>
        </references>
      </pivotArea>
    </format>
    <format dxfId="1520">
      <pivotArea dataOnly="0" labelOnly="1" outline="0" fieldPosition="0">
        <references count="2">
          <reference field="0" count="1" selected="0">
            <x v="693"/>
          </reference>
          <reference field="1" count="1">
            <x v="105"/>
          </reference>
        </references>
      </pivotArea>
    </format>
    <format dxfId="1521">
      <pivotArea dataOnly="0" labelOnly="1" outline="0" fieldPosition="0">
        <references count="2">
          <reference field="0" count="1" selected="0">
            <x v="694"/>
          </reference>
          <reference field="1" count="1">
            <x v="124"/>
          </reference>
        </references>
      </pivotArea>
    </format>
    <format dxfId="1522">
      <pivotArea dataOnly="0" labelOnly="1" outline="0" fieldPosition="0">
        <references count="2">
          <reference field="0" count="1" selected="0">
            <x v="695"/>
          </reference>
          <reference field="1" count="1">
            <x v="135"/>
          </reference>
        </references>
      </pivotArea>
    </format>
    <format dxfId="1523">
      <pivotArea dataOnly="0" labelOnly="1" outline="0" fieldPosition="0">
        <references count="2">
          <reference field="0" count="1" selected="0">
            <x v="696"/>
          </reference>
          <reference field="1" count="1">
            <x v="118"/>
          </reference>
        </references>
      </pivotArea>
    </format>
    <format dxfId="1524">
      <pivotArea dataOnly="0" labelOnly="1" outline="0" fieldPosition="0">
        <references count="2">
          <reference field="0" count="1" selected="0">
            <x v="697"/>
          </reference>
          <reference field="1" count="1">
            <x v="65"/>
          </reference>
        </references>
      </pivotArea>
    </format>
    <format dxfId="1525">
      <pivotArea dataOnly="0" labelOnly="1" outline="0" fieldPosition="0">
        <references count="2">
          <reference field="0" count="1" selected="0">
            <x v="698"/>
          </reference>
          <reference field="1" count="1">
            <x v="142"/>
          </reference>
        </references>
      </pivotArea>
    </format>
    <format dxfId="1526">
      <pivotArea dataOnly="0" labelOnly="1" outline="0" fieldPosition="0">
        <references count="2">
          <reference field="0" count="1" selected="0">
            <x v="699"/>
          </reference>
          <reference field="1" count="1">
            <x v="125"/>
          </reference>
        </references>
      </pivotArea>
    </format>
    <format dxfId="1527">
      <pivotArea dataOnly="0" labelOnly="1" outline="0" fieldPosition="0">
        <references count="2">
          <reference field="0" count="1" selected="0">
            <x v="700"/>
          </reference>
          <reference field="1" count="1">
            <x v="148"/>
          </reference>
        </references>
      </pivotArea>
    </format>
    <format dxfId="1528">
      <pivotArea dataOnly="0" labelOnly="1" outline="0" fieldPosition="0">
        <references count="2">
          <reference field="0" count="1" selected="0">
            <x v="701"/>
          </reference>
          <reference field="1" count="1">
            <x v="98"/>
          </reference>
        </references>
      </pivotArea>
    </format>
    <format dxfId="1529">
      <pivotArea dataOnly="0" labelOnly="1" outline="0" fieldPosition="0">
        <references count="2">
          <reference field="0" count="1" selected="0">
            <x v="702"/>
          </reference>
          <reference field="1" count="1">
            <x v="81"/>
          </reference>
        </references>
      </pivotArea>
    </format>
    <format dxfId="1530">
      <pivotArea dataOnly="0" labelOnly="1" outline="0" fieldPosition="0">
        <references count="2">
          <reference field="0" count="1" selected="0">
            <x v="703"/>
          </reference>
          <reference field="1" count="1">
            <x v="146"/>
          </reference>
        </references>
      </pivotArea>
    </format>
    <format dxfId="1531">
      <pivotArea dataOnly="0" labelOnly="1" outline="0" fieldPosition="0">
        <references count="2">
          <reference field="0" count="1" selected="0">
            <x v="704"/>
          </reference>
          <reference field="1" count="1">
            <x v="37"/>
          </reference>
        </references>
      </pivotArea>
    </format>
    <format dxfId="1532">
      <pivotArea dataOnly="0" labelOnly="1" outline="0" fieldPosition="0">
        <references count="2">
          <reference field="0" count="1" selected="0">
            <x v="705"/>
          </reference>
          <reference field="1" count="1">
            <x v="140"/>
          </reference>
        </references>
      </pivotArea>
    </format>
    <format dxfId="1533">
      <pivotArea dataOnly="0" labelOnly="1" outline="0" fieldPosition="0">
        <references count="2">
          <reference field="0" count="1" selected="0">
            <x v="706"/>
          </reference>
          <reference field="1" count="1">
            <x v="154"/>
          </reference>
        </references>
      </pivotArea>
    </format>
    <format dxfId="1534">
      <pivotArea dataOnly="0" labelOnly="1" outline="0" fieldPosition="0">
        <references count="2">
          <reference field="0" count="1" selected="0">
            <x v="707"/>
          </reference>
          <reference field="1" count="1">
            <x v="75"/>
          </reference>
        </references>
      </pivotArea>
    </format>
    <format dxfId="1535">
      <pivotArea dataOnly="0" labelOnly="1" outline="0" fieldPosition="0">
        <references count="2">
          <reference field="0" count="1" selected="0">
            <x v="708"/>
          </reference>
          <reference field="1" count="1">
            <x v="128"/>
          </reference>
        </references>
      </pivotArea>
    </format>
    <format dxfId="1536">
      <pivotArea dataOnly="0" labelOnly="1" outline="0" fieldPosition="0">
        <references count="2">
          <reference field="0" count="1" selected="0">
            <x v="709"/>
          </reference>
          <reference field="1" count="1">
            <x v="77"/>
          </reference>
        </references>
      </pivotArea>
    </format>
    <format dxfId="1537">
      <pivotArea dataOnly="0" labelOnly="1" outline="0" fieldPosition="0">
        <references count="2">
          <reference field="0" count="1" selected="0">
            <x v="710"/>
          </reference>
          <reference field="1" count="1">
            <x v="122"/>
          </reference>
        </references>
      </pivotArea>
    </format>
    <format dxfId="1538">
      <pivotArea dataOnly="0" labelOnly="1" outline="0" fieldPosition="0">
        <references count="2">
          <reference field="0" count="1" selected="0">
            <x v="711"/>
          </reference>
          <reference field="1" count="1">
            <x v="57"/>
          </reference>
        </references>
      </pivotArea>
    </format>
    <format dxfId="1539">
      <pivotArea dataOnly="0" labelOnly="1" outline="0" fieldPosition="0">
        <references count="2">
          <reference field="0" count="1" selected="0">
            <x v="712"/>
          </reference>
          <reference field="1" count="1">
            <x v="60"/>
          </reference>
        </references>
      </pivotArea>
    </format>
    <format dxfId="1540">
      <pivotArea dataOnly="0" labelOnly="1" outline="0" fieldPosition="0">
        <references count="2">
          <reference field="0" count="1" selected="0">
            <x v="713"/>
          </reference>
          <reference field="1" count="1">
            <x v="61"/>
          </reference>
        </references>
      </pivotArea>
    </format>
    <format dxfId="1541">
      <pivotArea dataOnly="0" labelOnly="1" outline="0" fieldPosition="0">
        <references count="2">
          <reference field="0" count="1" selected="0">
            <x v="714"/>
          </reference>
          <reference field="1" count="1">
            <x v="62"/>
          </reference>
        </references>
      </pivotArea>
    </format>
    <format dxfId="1542">
      <pivotArea dataOnly="0" labelOnly="1" outline="0" fieldPosition="0">
        <references count="2">
          <reference field="0" count="1" selected="0">
            <x v="715"/>
          </reference>
          <reference field="1" count="1">
            <x v="91"/>
          </reference>
        </references>
      </pivotArea>
    </format>
    <format dxfId="1543">
      <pivotArea dataOnly="0" labelOnly="1" outline="0" fieldPosition="0">
        <references count="2">
          <reference field="0" count="1" selected="0">
            <x v="716"/>
          </reference>
          <reference field="1" count="1">
            <x v="151"/>
          </reference>
        </references>
      </pivotArea>
    </format>
    <format dxfId="1544">
      <pivotArea dataOnly="0" labelOnly="1" outline="0" fieldPosition="0">
        <references count="2">
          <reference field="0" count="1" selected="0">
            <x v="717"/>
          </reference>
          <reference field="1" count="1">
            <x v="149"/>
          </reference>
        </references>
      </pivotArea>
    </format>
    <format dxfId="1545">
      <pivotArea dataOnly="0" labelOnly="1" outline="0" fieldPosition="0">
        <references count="2">
          <reference field="0" count="1" selected="0">
            <x v="718"/>
          </reference>
          <reference field="1" count="1">
            <x v="100"/>
          </reference>
        </references>
      </pivotArea>
    </format>
    <format dxfId="1546">
      <pivotArea dataOnly="0" labelOnly="1" outline="0" fieldPosition="0">
        <references count="2">
          <reference field="0" count="1" selected="0">
            <x v="719"/>
          </reference>
          <reference field="1" count="1">
            <x v="155"/>
          </reference>
        </references>
      </pivotArea>
    </format>
    <format dxfId="1547">
      <pivotArea dataOnly="0" labelOnly="1" outline="0" fieldPosition="0">
        <references count="2">
          <reference field="0" count="1" selected="0">
            <x v="720"/>
          </reference>
          <reference field="1" count="1">
            <x v="51"/>
          </reference>
        </references>
      </pivotArea>
    </format>
    <format dxfId="1548">
      <pivotArea dataOnly="0" labelOnly="1" outline="0" fieldPosition="0">
        <references count="2">
          <reference field="0" count="1" selected="0">
            <x v="721"/>
          </reference>
          <reference field="1" count="1">
            <x v="64"/>
          </reference>
        </references>
      </pivotArea>
    </format>
    <format dxfId="1549">
      <pivotArea dataOnly="0" labelOnly="1" outline="0" fieldPosition="0">
        <references count="2">
          <reference field="0" count="1" selected="0">
            <x v="722"/>
          </reference>
          <reference field="1" count="1">
            <x v="52"/>
          </reference>
        </references>
      </pivotArea>
    </format>
    <format dxfId="1550">
      <pivotArea dataOnly="0" labelOnly="1" outline="0" fieldPosition="0">
        <references count="2">
          <reference field="0" count="1" selected="0">
            <x v="723"/>
          </reference>
          <reference field="1" count="1">
            <x v="68"/>
          </reference>
        </references>
      </pivotArea>
    </format>
    <format dxfId="1551">
      <pivotArea dataOnly="0" labelOnly="1" outline="0" fieldPosition="0">
        <references count="2">
          <reference field="0" count="1" selected="0">
            <x v="724"/>
          </reference>
          <reference field="1" count="1">
            <x v="33"/>
          </reference>
        </references>
      </pivotArea>
    </format>
    <format dxfId="1552">
      <pivotArea dataOnly="0" labelOnly="1" outline="0" fieldPosition="0">
        <references count="2">
          <reference field="0" count="1" selected="0">
            <x v="725"/>
          </reference>
          <reference field="1" count="1">
            <x v="152"/>
          </reference>
        </references>
      </pivotArea>
    </format>
    <format dxfId="1553">
      <pivotArea dataOnly="0" labelOnly="1" outline="0" fieldPosition="0">
        <references count="2">
          <reference field="0" count="1" selected="0">
            <x v="726"/>
          </reference>
          <reference field="1" count="1">
            <x v="47"/>
          </reference>
        </references>
      </pivotArea>
    </format>
    <format dxfId="1554">
      <pivotArea dataOnly="0" labelOnly="1" outline="0" fieldPosition="0">
        <references count="2">
          <reference field="0" count="1" selected="0">
            <x v="727"/>
          </reference>
          <reference field="1" count="1">
            <x v="97"/>
          </reference>
        </references>
      </pivotArea>
    </format>
    <format dxfId="1555">
      <pivotArea dataOnly="0" labelOnly="1" outline="0" fieldPosition="0">
        <references count="2">
          <reference field="0" count="1" selected="0">
            <x v="728"/>
          </reference>
          <reference field="1" count="1">
            <x v="157"/>
          </reference>
        </references>
      </pivotArea>
    </format>
    <format dxfId="1556">
      <pivotArea dataOnly="0" labelOnly="1" outline="0" fieldPosition="0">
        <references count="2">
          <reference field="0" count="1" selected="0">
            <x v="729"/>
          </reference>
          <reference field="1" count="1">
            <x v="99"/>
          </reference>
        </references>
      </pivotArea>
    </format>
    <format dxfId="1557">
      <pivotArea dataOnly="0" labelOnly="1" outline="0" fieldPosition="0">
        <references count="2">
          <reference field="0" count="1" selected="0">
            <x v="730"/>
          </reference>
          <reference field="1" count="1">
            <x v="55"/>
          </reference>
        </references>
      </pivotArea>
    </format>
    <format dxfId="1558">
      <pivotArea dataOnly="0" labelOnly="1" outline="0" fieldPosition="0">
        <references count="2">
          <reference field="0" count="1" selected="0">
            <x v="731"/>
          </reference>
          <reference field="1" count="1">
            <x v="139"/>
          </reference>
        </references>
      </pivotArea>
    </format>
    <format dxfId="1559">
      <pivotArea dataOnly="0" labelOnly="1" outline="0" fieldPosition="0">
        <references count="2">
          <reference field="0" count="1" selected="0">
            <x v="732"/>
          </reference>
          <reference field="1" count="1">
            <x v="150"/>
          </reference>
        </references>
      </pivotArea>
    </format>
    <format dxfId="1560">
      <pivotArea dataOnly="0" labelOnly="1" outline="0" fieldPosition="0">
        <references count="2">
          <reference field="0" count="1" selected="0">
            <x v="733"/>
          </reference>
          <reference field="1" count="1">
            <x v="29"/>
          </reference>
        </references>
      </pivotArea>
    </format>
    <format dxfId="1561">
      <pivotArea dataOnly="0" labelOnly="1" outline="0" fieldPosition="0">
        <references count="2">
          <reference field="0" count="1" selected="0">
            <x v="734"/>
          </reference>
          <reference field="1" count="1">
            <x v="92"/>
          </reference>
        </references>
      </pivotArea>
    </format>
    <format dxfId="1562">
      <pivotArea dataOnly="0" labelOnly="1" outline="0" fieldPosition="0">
        <references count="2">
          <reference field="0" count="1" selected="0">
            <x v="735"/>
          </reference>
          <reference field="1" count="1">
            <x v="137"/>
          </reference>
        </references>
      </pivotArea>
    </format>
    <format dxfId="1563">
      <pivotArea dataOnly="0" labelOnly="1" outline="0" fieldPosition="0">
        <references count="2">
          <reference field="0" count="1" selected="0">
            <x v="736"/>
          </reference>
          <reference field="1" count="1">
            <x v="69"/>
          </reference>
        </references>
      </pivotArea>
    </format>
    <format dxfId="1564">
      <pivotArea dataOnly="0" labelOnly="1" outline="0" fieldPosition="0">
        <references count="2">
          <reference field="0" count="1" selected="0">
            <x v="737"/>
          </reference>
          <reference field="1" count="1">
            <x v="132"/>
          </reference>
        </references>
      </pivotArea>
    </format>
    <format dxfId="1565">
      <pivotArea dataOnly="0" labelOnly="1" outline="0" fieldPosition="0">
        <references count="2">
          <reference field="0" count="1" selected="0">
            <x v="738"/>
          </reference>
          <reference field="1" count="1">
            <x v="138"/>
          </reference>
        </references>
      </pivotArea>
    </format>
    <format dxfId="1566">
      <pivotArea dataOnly="0" labelOnly="1" outline="0" fieldPosition="0">
        <references count="2">
          <reference field="0" count="1" selected="0">
            <x v="739"/>
          </reference>
          <reference field="1" count="1">
            <x v="70"/>
          </reference>
        </references>
      </pivotArea>
    </format>
    <format dxfId="1567">
      <pivotArea dataOnly="0" labelOnly="1" outline="0" fieldPosition="0">
        <references count="2">
          <reference field="0" count="1" selected="0">
            <x v="740"/>
          </reference>
          <reference field="1" count="1">
            <x v="39"/>
          </reference>
        </references>
      </pivotArea>
    </format>
    <format dxfId="1568">
      <pivotArea dataOnly="0" labelOnly="1" outline="0" fieldPosition="0">
        <references count="2">
          <reference field="0" count="1" selected="0">
            <x v="741"/>
          </reference>
          <reference field="1" count="1">
            <x v="89"/>
          </reference>
        </references>
      </pivotArea>
    </format>
    <format dxfId="1569">
      <pivotArea dataOnly="0" labelOnly="1" outline="0" fieldPosition="0">
        <references count="2">
          <reference field="0" count="1" selected="0">
            <x v="742"/>
          </reference>
          <reference field="1" count="1">
            <x v="121"/>
          </reference>
        </references>
      </pivotArea>
    </format>
    <format dxfId="1570">
      <pivotArea dataOnly="0" labelOnly="1" outline="0" fieldPosition="0">
        <references count="2">
          <reference field="0" count="1" selected="0">
            <x v="743"/>
          </reference>
          <reference field="1" count="1">
            <x v="38"/>
          </reference>
        </references>
      </pivotArea>
    </format>
    <format dxfId="1571">
      <pivotArea dataOnly="0" labelOnly="1" outline="0" fieldPosition="0">
        <references count="2">
          <reference field="0" count="1" selected="0">
            <x v="744"/>
          </reference>
          <reference field="1" count="1">
            <x v="104"/>
          </reference>
        </references>
      </pivotArea>
    </format>
    <format dxfId="1572">
      <pivotArea dataOnly="0" labelOnly="1" outline="0" fieldPosition="0">
        <references count="2">
          <reference field="0" count="1" selected="0">
            <x v="745"/>
          </reference>
          <reference field="1" count="1">
            <x v="135"/>
          </reference>
        </references>
      </pivotArea>
    </format>
    <format dxfId="1573">
      <pivotArea dataOnly="0" labelOnly="1" outline="0" fieldPosition="0">
        <references count="2">
          <reference field="0" count="1" selected="0">
            <x v="746"/>
          </reference>
          <reference field="1" count="1">
            <x v="88"/>
          </reference>
        </references>
      </pivotArea>
    </format>
    <format dxfId="1574">
      <pivotArea dataOnly="0" labelOnly="1" outline="0" fieldPosition="0">
        <references count="2">
          <reference field="0" count="1" selected="0">
            <x v="747"/>
          </reference>
          <reference field="1" count="1">
            <x v="90"/>
          </reference>
        </references>
      </pivotArea>
    </format>
    <format dxfId="1575">
      <pivotArea dataOnly="0" labelOnly="1" outline="0" fieldPosition="0">
        <references count="2">
          <reference field="0" count="1" selected="0">
            <x v="748"/>
          </reference>
          <reference field="1" count="1">
            <x v="12"/>
          </reference>
        </references>
      </pivotArea>
    </format>
    <format dxfId="1576">
      <pivotArea dataOnly="0" labelOnly="1" outline="0" fieldPosition="0">
        <references count="2">
          <reference field="0" count="1" selected="0">
            <x v="749"/>
          </reference>
          <reference field="1" count="1">
            <x v="57"/>
          </reference>
        </references>
      </pivotArea>
    </format>
    <format dxfId="1577">
      <pivotArea dataOnly="0" labelOnly="1" outline="0" fieldPosition="0">
        <references count="2">
          <reference field="0" count="1" selected="0">
            <x v="750"/>
          </reference>
          <reference field="1" count="1">
            <x v="156"/>
          </reference>
        </references>
      </pivotArea>
    </format>
    <format dxfId="1578">
      <pivotArea dataOnly="0" labelOnly="1" outline="0" fieldPosition="0">
        <references count="2">
          <reference field="0" count="1" selected="0">
            <x v="751"/>
          </reference>
          <reference field="1" count="1">
            <x v="134"/>
          </reference>
        </references>
      </pivotArea>
    </format>
    <format dxfId="1579">
      <pivotArea dataOnly="0" labelOnly="1" outline="0" fieldPosition="0">
        <references count="2">
          <reference field="0" count="1" selected="0">
            <x v="752"/>
          </reference>
          <reference field="1" count="1">
            <x v="94"/>
          </reference>
        </references>
      </pivotArea>
    </format>
    <format dxfId="1580">
      <pivotArea dataOnly="0" labelOnly="1" outline="0" fieldPosition="0">
        <references count="2">
          <reference field="0" count="1" selected="0">
            <x v="753"/>
          </reference>
          <reference field="1" count="1">
            <x v="40"/>
          </reference>
        </references>
      </pivotArea>
    </format>
    <format dxfId="1581">
      <pivotArea dataOnly="0" labelOnly="1" outline="0" fieldPosition="0">
        <references count="2">
          <reference field="0" count="1" selected="0">
            <x v="754"/>
          </reference>
          <reference field="1" count="1">
            <x v="146"/>
          </reference>
        </references>
      </pivotArea>
    </format>
    <format dxfId="1582">
      <pivotArea dataOnly="0" labelOnly="1" outline="0" fieldPosition="0">
        <references count="2">
          <reference field="0" count="1" selected="0">
            <x v="755"/>
          </reference>
          <reference field="1" count="1">
            <x v="11"/>
          </reference>
        </references>
      </pivotArea>
    </format>
    <format dxfId="1583">
      <pivotArea dataOnly="0" labelOnly="1" outline="0" fieldPosition="0">
        <references count="2">
          <reference field="0" count="1" selected="0">
            <x v="756"/>
          </reference>
          <reference field="1" count="1">
            <x v="13"/>
          </reference>
        </references>
      </pivotArea>
    </format>
    <format dxfId="1584">
      <pivotArea dataOnly="0" labelOnly="1" outline="0" fieldPosition="0">
        <references count="2">
          <reference field="0" count="1" selected="0">
            <x v="757"/>
          </reference>
          <reference field="1" count="1">
            <x v="145"/>
          </reference>
        </references>
      </pivotArea>
    </format>
    <format dxfId="1585">
      <pivotArea dataOnly="0" labelOnly="1" outline="0" fieldPosition="0">
        <references count="2">
          <reference field="0" count="1" selected="0">
            <x v="758"/>
          </reference>
          <reference field="1" count="1">
            <x v="144"/>
          </reference>
        </references>
      </pivotArea>
    </format>
    <format dxfId="1586">
      <pivotArea dataOnly="0" labelOnly="1" outline="0" fieldPosition="0">
        <references count="2">
          <reference field="0" count="1" selected="0">
            <x v="759"/>
          </reference>
          <reference field="1" count="1">
            <x v="104"/>
          </reference>
        </references>
      </pivotArea>
    </format>
    <format dxfId="1587">
      <pivotArea dataOnly="0" labelOnly="1" outline="0" fieldPosition="0">
        <references count="2">
          <reference field="0" count="1" selected="0">
            <x v="760"/>
          </reference>
          <reference field="1" count="1">
            <x v="79"/>
          </reference>
        </references>
      </pivotArea>
    </format>
    <format dxfId="1588">
      <pivotArea dataOnly="0" labelOnly="1" outline="0" fieldPosition="0">
        <references count="2">
          <reference field="0" count="1" selected="0">
            <x v="761"/>
          </reference>
          <reference field="1" count="1">
            <x v="124"/>
          </reference>
        </references>
      </pivotArea>
    </format>
    <format dxfId="1589">
      <pivotArea dataOnly="0" labelOnly="1" outline="0" fieldPosition="0">
        <references count="2">
          <reference field="0" count="1" selected="0">
            <x v="762"/>
          </reference>
          <reference field="1" count="1">
            <x v="122"/>
          </reference>
        </references>
      </pivotArea>
    </format>
    <format dxfId="1590">
      <pivotArea dataOnly="0" labelOnly="1" outline="0" fieldPosition="0">
        <references count="2">
          <reference field="0" count="1" selected="0">
            <x v="763"/>
          </reference>
          <reference field="1" count="1">
            <x v="93"/>
          </reference>
        </references>
      </pivotArea>
    </format>
    <format dxfId="1591">
      <pivotArea dataOnly="0" labelOnly="1" outline="0" fieldPosition="0">
        <references count="2">
          <reference field="0" count="1" selected="0">
            <x v="764"/>
          </reference>
          <reference field="1" count="1">
            <x v="49"/>
          </reference>
        </references>
      </pivotArea>
    </format>
    <format dxfId="1592">
      <pivotArea dataOnly="0" labelOnly="1" outline="0" fieldPosition="0">
        <references count="2">
          <reference field="0" count="1" selected="0">
            <x v="765"/>
          </reference>
          <reference field="1" count="1">
            <x v="16"/>
          </reference>
        </references>
      </pivotArea>
    </format>
    <format dxfId="1593">
      <pivotArea dataOnly="0" labelOnly="1" outline="0" fieldPosition="0">
        <references count="2">
          <reference field="0" count="1" selected="0">
            <x v="766"/>
          </reference>
          <reference field="1" count="1">
            <x v="7"/>
          </reference>
        </references>
      </pivotArea>
    </format>
    <format dxfId="1594">
      <pivotArea dataOnly="0" labelOnly="1" outline="0" fieldPosition="0">
        <references count="2">
          <reference field="0" count="1" selected="0">
            <x v="767"/>
          </reference>
          <reference field="1" count="1">
            <x v="103"/>
          </reference>
        </references>
      </pivotArea>
    </format>
    <format dxfId="1595">
      <pivotArea dataOnly="0" labelOnly="1" outline="0" fieldPosition="0">
        <references count="2">
          <reference field="0" count="1" selected="0">
            <x v="768"/>
          </reference>
          <reference field="1" count="1">
            <x v="108"/>
          </reference>
        </references>
      </pivotArea>
    </format>
    <format dxfId="1596">
      <pivotArea dataOnly="0" labelOnly="1" outline="0" fieldPosition="0">
        <references count="2">
          <reference field="0" count="1" selected="0">
            <x v="769"/>
          </reference>
          <reference field="1" count="1">
            <x v="106"/>
          </reference>
        </references>
      </pivotArea>
    </format>
    <format dxfId="1597">
      <pivotArea dataOnly="0" labelOnly="1" outline="0" fieldPosition="0">
        <references count="2">
          <reference field="0" count="1" selected="0">
            <x v="770"/>
          </reference>
          <reference field="1" count="1">
            <x v="107"/>
          </reference>
        </references>
      </pivotArea>
    </format>
    <format dxfId="1598">
      <pivotArea dataOnly="0" labelOnly="1" outline="0" fieldPosition="0">
        <references count="2">
          <reference field="0" count="1" selected="0">
            <x v="771"/>
          </reference>
          <reference field="1" count="1">
            <x v="86"/>
          </reference>
        </references>
      </pivotArea>
    </format>
    <format dxfId="1599">
      <pivotArea dataOnly="0" labelOnly="1" outline="0" fieldPosition="0">
        <references count="2">
          <reference field="0" count="1" selected="0">
            <x v="772"/>
          </reference>
          <reference field="1" count="1">
            <x v="85"/>
          </reference>
        </references>
      </pivotArea>
    </format>
    <format dxfId="1600">
      <pivotArea dataOnly="0" labelOnly="1" outline="0" fieldPosition="0">
        <references count="2">
          <reference field="0" count="1" selected="0">
            <x v="773"/>
          </reference>
          <reference field="1" count="1">
            <x v="104"/>
          </reference>
        </references>
      </pivotArea>
    </format>
    <format dxfId="1601">
      <pivotArea dataOnly="0" labelOnly="1" outline="0" fieldPosition="0">
        <references count="2">
          <reference field="0" count="1" selected="0">
            <x v="774"/>
          </reference>
          <reference field="1" count="1">
            <x v="79"/>
          </reference>
        </references>
      </pivotArea>
    </format>
    <format dxfId="1602">
      <pivotArea dataOnly="0" labelOnly="1" outline="0" fieldPosition="0">
        <references count="2">
          <reference field="0" count="1" selected="0">
            <x v="775"/>
          </reference>
          <reference field="1" count="1">
            <x v="124"/>
          </reference>
        </references>
      </pivotArea>
    </format>
    <format dxfId="1603">
      <pivotArea dataOnly="0" labelOnly="1" outline="0" fieldPosition="0">
        <references count="2">
          <reference field="0" count="1" selected="0">
            <x v="776"/>
          </reference>
          <reference field="1" count="1">
            <x v="135"/>
          </reference>
        </references>
      </pivotArea>
    </format>
    <format dxfId="1604">
      <pivotArea dataOnly="0" labelOnly="1" outline="0" fieldPosition="0">
        <references count="2">
          <reference field="0" count="1" selected="0">
            <x v="777"/>
          </reference>
          <reference field="1" count="1">
            <x v="122"/>
          </reference>
        </references>
      </pivotArea>
    </format>
    <format dxfId="16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L4:P783" totalsRowShown="0">
  <autoFilter xmlns:etc="http://www.wps.cn/officeDocument/2017/etCustomData" ref="L4:P783" etc:filterBottomFollowUsedRange="0"/>
  <tableColumns count="5">
    <tableColumn id="1" name="Account String" dataDxfId="1606"/>
    <tableColumn id="2" name="Account Title" dataDxfId="1607"/>
    <tableColumn id="3" name="Sum of Old TB" dataDxfId="1608"/>
    <tableColumn id="4" name="Sum of New TB" dataDxfId="1609"/>
    <tableColumn id="5" name="Variance" dataDxfId="1610">
      <calculatedColumnFormula>Table2[[#This Row],[Sum of Old TB]]-Table2[[#This Row],[Sum of New TB]]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10" sqref="D10"/>
    </sheetView>
  </sheetViews>
  <sheetFormatPr defaultColWidth="9.13636363636364" defaultRowHeight="16.8" outlineLevelCol="3"/>
  <cols>
    <col min="1" max="1" width="68.9431818181818" style="3" customWidth="1"/>
    <col min="2" max="2" width="26" style="38" customWidth="1"/>
    <col min="3" max="3" width="19.2840909090909" style="38" customWidth="1"/>
    <col min="4" max="4" width="38.7159090909091" style="1" customWidth="1"/>
    <col min="5" max="5" width="29.4204545454545" style="1" customWidth="1"/>
    <col min="6" max="16384" width="9.13636363636364" style="1"/>
  </cols>
  <sheetData>
    <row r="1" spans="1:4">
      <c r="A1" s="39" t="s">
        <v>0</v>
      </c>
      <c r="B1" s="39" t="s">
        <v>1</v>
      </c>
      <c r="C1" s="39"/>
      <c r="D1" s="40"/>
    </row>
    <row r="2" spans="1:4">
      <c r="A2" s="39" t="s">
        <v>2</v>
      </c>
      <c r="B2" s="39" t="s">
        <v>3</v>
      </c>
      <c r="C2" s="39"/>
      <c r="D2" s="40"/>
    </row>
    <row r="3" spans="1:4">
      <c r="A3" s="39" t="s">
        <v>4</v>
      </c>
      <c r="B3" s="41">
        <v>45291</v>
      </c>
      <c r="C3" s="41"/>
      <c r="D3" s="41"/>
    </row>
    <row r="4" spans="1:4">
      <c r="A4" s="39"/>
      <c r="B4" s="41"/>
      <c r="C4" s="41"/>
      <c r="D4" s="41"/>
    </row>
    <row r="5" ht="12.75" customHeight="1" spans="1:3">
      <c r="A5" s="42" t="s">
        <v>5</v>
      </c>
      <c r="B5" s="42" t="s">
        <v>6</v>
      </c>
      <c r="C5" s="43" t="s">
        <v>7</v>
      </c>
    </row>
    <row r="6" ht="12.75" customHeight="1" spans="1:3">
      <c r="A6" s="44" t="s">
        <v>8</v>
      </c>
      <c r="B6" s="25" t="s">
        <v>9</v>
      </c>
      <c r="C6" s="27">
        <v>788177.94</v>
      </c>
    </row>
    <row r="7" ht="12.75" customHeight="1" spans="1:3">
      <c r="A7" s="44" t="s">
        <v>10</v>
      </c>
      <c r="B7" s="25" t="s">
        <v>11</v>
      </c>
      <c r="C7" s="27">
        <v>-77476.81</v>
      </c>
    </row>
    <row r="8" ht="12.75" customHeight="1" spans="1:3">
      <c r="A8" s="44" t="s">
        <v>12</v>
      </c>
      <c r="B8" s="25" t="s">
        <v>13</v>
      </c>
      <c r="C8" s="27">
        <v>12631.96</v>
      </c>
    </row>
    <row r="9" ht="12.75" customHeight="1" spans="1:3">
      <c r="A9" s="44" t="s">
        <v>14</v>
      </c>
      <c r="B9" s="25" t="s">
        <v>15</v>
      </c>
      <c r="C9" s="27">
        <v>7274874.46</v>
      </c>
    </row>
    <row r="10" ht="12.75" customHeight="1" spans="1:3">
      <c r="A10" s="44" t="s">
        <v>16</v>
      </c>
      <c r="B10" s="25" t="s">
        <v>17</v>
      </c>
      <c r="C10" s="27">
        <v>35486.43</v>
      </c>
    </row>
    <row r="11" ht="12.75" customHeight="1" spans="1:3">
      <c r="A11" s="44" t="s">
        <v>18</v>
      </c>
      <c r="B11" s="25" t="s">
        <v>19</v>
      </c>
      <c r="C11" s="27">
        <v>7045.07</v>
      </c>
    </row>
    <row r="12" ht="12.75" customHeight="1" spans="1:3">
      <c r="A12" s="44" t="s">
        <v>20</v>
      </c>
      <c r="B12" s="25" t="s">
        <v>21</v>
      </c>
      <c r="C12" s="27">
        <v>-500</v>
      </c>
    </row>
    <row r="13" ht="12.75" customHeight="1" spans="1:3">
      <c r="A13" s="44" t="s">
        <v>22</v>
      </c>
      <c r="B13" s="25" t="s">
        <v>23</v>
      </c>
      <c r="C13" s="27">
        <v>975400.76</v>
      </c>
    </row>
    <row r="14" ht="12.75" customHeight="1" spans="1:3">
      <c r="A14" s="44" t="s">
        <v>24</v>
      </c>
      <c r="B14" s="25" t="s">
        <v>25</v>
      </c>
      <c r="C14" s="27">
        <v>-22045</v>
      </c>
    </row>
    <row r="15" ht="12.75" customHeight="1" spans="1:3">
      <c r="A15" s="44" t="s">
        <v>26</v>
      </c>
      <c r="B15" s="25" t="s">
        <v>21</v>
      </c>
      <c r="C15" s="27">
        <v>500</v>
      </c>
    </row>
    <row r="16" ht="12.75" customHeight="1" spans="1:3">
      <c r="A16" s="45" t="s">
        <v>27</v>
      </c>
      <c r="B16" s="35" t="s">
        <v>25</v>
      </c>
      <c r="C16" s="46">
        <v>22045</v>
      </c>
    </row>
  </sheetData>
  <autoFilter xmlns:etc="http://www.wps.cn/officeDocument/2017/etCustomData" ref="A5:E16" etc:filterBottomFollowUsedRange="0">
    <extLst/>
  </autoFilter>
  <mergeCells count="1">
    <mergeCell ref="B3:D3"/>
  </mergeCells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508"/>
  <sheetViews>
    <sheetView workbookViewId="0">
      <selection activeCell="R8" sqref="R8"/>
    </sheetView>
  </sheetViews>
  <sheetFormatPr defaultColWidth="9.13636363636364" defaultRowHeight="15" customHeight="1"/>
  <cols>
    <col min="1" max="1" width="9.13636363636364" style="1"/>
    <col min="2" max="2" width="17.8522727272727" style="1" customWidth="1"/>
    <col min="3" max="3" width="29.4204545454545" style="1" customWidth="1"/>
    <col min="4" max="4" width="16.7159090909091" style="1" customWidth="1"/>
    <col min="5" max="5" width="19.8522727272727" style="1" customWidth="1"/>
    <col min="6" max="6" width="9.13636363636364" style="1"/>
    <col min="7" max="7" width="20.1363636363636" style="1" hidden="1" customWidth="1"/>
    <col min="8" max="8" width="25.4204545454545" style="1" hidden="1" customWidth="1"/>
    <col min="9" max="9" width="13.4204545454545" style="2" hidden="1" customWidth="1"/>
    <col min="10" max="10" width="14.8522727272727" style="2" hidden="1" customWidth="1"/>
    <col min="11" max="11" width="9.13636363636364" style="1"/>
    <col min="12" max="12" width="17.4204545454545" style="3" customWidth="1"/>
    <col min="13" max="13" width="36" style="1" customWidth="1"/>
    <col min="14" max="14" width="21.4204545454545" style="2" customWidth="1"/>
    <col min="15" max="15" width="22.4204545454545" style="2" customWidth="1"/>
    <col min="16" max="16" width="17" style="2" customWidth="1"/>
    <col min="17" max="16384" width="9.13636363636364" style="1"/>
  </cols>
  <sheetData>
    <row r="2" customHeight="1" spans="2:3">
      <c r="B2" s="4" t="s">
        <v>28</v>
      </c>
      <c r="C2" s="4"/>
    </row>
    <row r="4" customHeight="1" spans="2:16">
      <c r="B4" s="5" t="s">
        <v>29</v>
      </c>
      <c r="C4" s="6" t="s">
        <v>30</v>
      </c>
      <c r="D4" s="7" t="s">
        <v>31</v>
      </c>
      <c r="E4" s="6" t="s">
        <v>32</v>
      </c>
      <c r="L4" s="10" t="s">
        <v>29</v>
      </c>
      <c r="M4" s="13" t="s">
        <v>30</v>
      </c>
      <c r="N4" s="14" t="s">
        <v>33</v>
      </c>
      <c r="O4" s="15" t="s">
        <v>34</v>
      </c>
      <c r="P4" s="16" t="s">
        <v>35</v>
      </c>
    </row>
    <row r="5" customHeight="1" spans="2:16">
      <c r="B5" s="8" t="s">
        <v>8</v>
      </c>
      <c r="C5" s="9" t="s">
        <v>9</v>
      </c>
      <c r="D5" s="1">
        <v>788177.94</v>
      </c>
      <c r="E5" s="9"/>
      <c r="L5" s="11" t="s">
        <v>8</v>
      </c>
      <c r="M5" s="17" t="s">
        <v>9</v>
      </c>
      <c r="N5" s="18">
        <v>788177.94</v>
      </c>
      <c r="O5" s="19">
        <v>788177.94</v>
      </c>
      <c r="P5" s="20">
        <f>Table2[[#This Row],[Sum of Old TB]]-Table2[[#This Row],[Sum of New TB]]</f>
        <v>0</v>
      </c>
    </row>
    <row r="6" customHeight="1" spans="2:16">
      <c r="B6" s="8" t="s">
        <v>10</v>
      </c>
      <c r="C6" s="9" t="s">
        <v>11</v>
      </c>
      <c r="D6" s="1">
        <v>-77476.81</v>
      </c>
      <c r="E6" s="9"/>
      <c r="I6" s="2" t="s">
        <v>36</v>
      </c>
      <c r="L6" s="12" t="s">
        <v>10</v>
      </c>
      <c r="M6" s="9" t="s">
        <v>11</v>
      </c>
      <c r="N6" s="21">
        <v>-77476.81</v>
      </c>
      <c r="O6" s="22">
        <v>-77476.81</v>
      </c>
      <c r="P6" s="23">
        <f>Table2[[#This Row],[Sum of Old TB]]-Table2[[#This Row],[Sum of New TB]]</f>
        <v>0</v>
      </c>
    </row>
    <row r="7" customHeight="1" spans="2:16">
      <c r="B7" s="8" t="s">
        <v>12</v>
      </c>
      <c r="C7" s="9" t="s">
        <v>13</v>
      </c>
      <c r="D7" s="1">
        <v>12631.96</v>
      </c>
      <c r="E7" s="9"/>
      <c r="G7" s="1" t="s">
        <v>29</v>
      </c>
      <c r="H7" s="1" t="s">
        <v>30</v>
      </c>
      <c r="I7" s="2" t="s">
        <v>33</v>
      </c>
      <c r="J7" s="2" t="s">
        <v>34</v>
      </c>
      <c r="L7" s="12" t="s">
        <v>12</v>
      </c>
      <c r="M7" s="9" t="s">
        <v>13</v>
      </c>
      <c r="N7" s="21">
        <v>12631.96</v>
      </c>
      <c r="O7" s="22">
        <v>12631.96</v>
      </c>
      <c r="P7" s="23">
        <f>Table2[[#This Row],[Sum of Old TB]]-Table2[[#This Row],[Sum of New TB]]</f>
        <v>0</v>
      </c>
    </row>
    <row r="8" customHeight="1" spans="2:16">
      <c r="B8" s="8" t="s">
        <v>14</v>
      </c>
      <c r="C8" s="9" t="s">
        <v>15</v>
      </c>
      <c r="D8" s="1">
        <v>7274874.46</v>
      </c>
      <c r="E8" s="9"/>
      <c r="G8" s="1" t="s">
        <v>8</v>
      </c>
      <c r="H8" s="1" t="s">
        <v>9</v>
      </c>
      <c r="I8" s="2">
        <v>788177.94</v>
      </c>
      <c r="J8" s="2">
        <v>788177.94</v>
      </c>
      <c r="L8" s="12" t="s">
        <v>14</v>
      </c>
      <c r="M8" s="9" t="s">
        <v>15</v>
      </c>
      <c r="N8" s="21">
        <v>7274874.46</v>
      </c>
      <c r="O8" s="22">
        <v>7274874.46</v>
      </c>
      <c r="P8" s="23">
        <f>Table2[[#This Row],[Sum of Old TB]]-Table2[[#This Row],[Sum of New TB]]</f>
        <v>0</v>
      </c>
    </row>
    <row r="9" customHeight="1" spans="2:16">
      <c r="B9" s="8" t="s">
        <v>37</v>
      </c>
      <c r="C9" s="9" t="s">
        <v>38</v>
      </c>
      <c r="D9" s="1">
        <v>49777.45</v>
      </c>
      <c r="E9" s="9"/>
      <c r="G9" s="1" t="s">
        <v>10</v>
      </c>
      <c r="H9" s="1" t="s">
        <v>11</v>
      </c>
      <c r="I9" s="2">
        <v>-77476.81</v>
      </c>
      <c r="J9" s="2">
        <v>-77476.81</v>
      </c>
      <c r="L9" s="12" t="s">
        <v>37</v>
      </c>
      <c r="M9" s="9" t="s">
        <v>38</v>
      </c>
      <c r="N9" s="21">
        <v>49777.45</v>
      </c>
      <c r="O9" s="22">
        <v>52477.31</v>
      </c>
      <c r="P9" s="23">
        <f>Table2[[#This Row],[Sum of Old TB]]-Table2[[#This Row],[Sum of New TB]]</f>
        <v>-2699.86</v>
      </c>
    </row>
    <row r="10" customHeight="1" spans="2:16">
      <c r="B10" s="8" t="s">
        <v>16</v>
      </c>
      <c r="C10" s="9" t="s">
        <v>17</v>
      </c>
      <c r="D10" s="1">
        <v>35486.43</v>
      </c>
      <c r="E10" s="9"/>
      <c r="G10" s="1" t="s">
        <v>12</v>
      </c>
      <c r="H10" s="1" t="s">
        <v>13</v>
      </c>
      <c r="I10" s="2">
        <v>12631.96</v>
      </c>
      <c r="J10" s="2">
        <v>12631.96</v>
      </c>
      <c r="L10" s="12" t="s">
        <v>16</v>
      </c>
      <c r="M10" s="9" t="s">
        <v>17</v>
      </c>
      <c r="N10" s="21">
        <v>35486.43</v>
      </c>
      <c r="O10" s="22">
        <v>35486.43</v>
      </c>
      <c r="P10" s="23">
        <f>Table2[[#This Row],[Sum of Old TB]]-Table2[[#This Row],[Sum of New TB]]</f>
        <v>0</v>
      </c>
    </row>
    <row r="11" customHeight="1" spans="2:16">
      <c r="B11" s="8" t="s">
        <v>18</v>
      </c>
      <c r="C11" s="9" t="s">
        <v>19</v>
      </c>
      <c r="D11" s="1">
        <v>7045.07</v>
      </c>
      <c r="E11" s="9"/>
      <c r="G11" s="1" t="s">
        <v>14</v>
      </c>
      <c r="H11" s="1" t="s">
        <v>15</v>
      </c>
      <c r="I11" s="2">
        <v>7274874.46</v>
      </c>
      <c r="J11" s="2">
        <v>7274874.46</v>
      </c>
      <c r="L11" s="12" t="s">
        <v>18</v>
      </c>
      <c r="M11" s="9" t="s">
        <v>19</v>
      </c>
      <c r="N11" s="21">
        <v>7045.07</v>
      </c>
      <c r="O11" s="22">
        <v>7045.07</v>
      </c>
      <c r="P11" s="23">
        <f>Table2[[#This Row],[Sum of Old TB]]-Table2[[#This Row],[Sum of New TB]]</f>
        <v>0</v>
      </c>
    </row>
    <row r="12" customHeight="1" spans="2:16">
      <c r="B12" s="8" t="s">
        <v>22</v>
      </c>
      <c r="C12" s="9" t="s">
        <v>23</v>
      </c>
      <c r="D12" s="1">
        <v>975400.76</v>
      </c>
      <c r="E12" s="9"/>
      <c r="G12" s="1" t="s">
        <v>37</v>
      </c>
      <c r="H12" s="1" t="s">
        <v>38</v>
      </c>
      <c r="I12" s="2">
        <v>49777.45</v>
      </c>
      <c r="J12" s="2">
        <v>52477.31</v>
      </c>
      <c r="L12" s="12" t="s">
        <v>20</v>
      </c>
      <c r="M12" s="9" t="s">
        <v>21</v>
      </c>
      <c r="N12" s="21"/>
      <c r="O12" s="22">
        <v>-500</v>
      </c>
      <c r="P12" s="23">
        <f>Table2[[#This Row],[Sum of Old TB]]-Table2[[#This Row],[Sum of New TB]]</f>
        <v>500</v>
      </c>
    </row>
    <row r="13" customHeight="1" spans="2:16">
      <c r="B13" s="8" t="s">
        <v>39</v>
      </c>
      <c r="C13" s="9" t="s">
        <v>40</v>
      </c>
      <c r="D13" s="1">
        <v>-7913702.43</v>
      </c>
      <c r="E13" s="9"/>
      <c r="G13" s="1" t="s">
        <v>16</v>
      </c>
      <c r="H13" s="1" t="s">
        <v>17</v>
      </c>
      <c r="I13" s="2">
        <v>35486.43</v>
      </c>
      <c r="J13" s="2">
        <v>35486.43</v>
      </c>
      <c r="L13" s="12" t="s">
        <v>22</v>
      </c>
      <c r="M13" s="9" t="s">
        <v>23</v>
      </c>
      <c r="N13" s="21">
        <v>975400.76</v>
      </c>
      <c r="O13" s="22">
        <v>975400.76</v>
      </c>
      <c r="P13" s="23">
        <f>Table2[[#This Row],[Sum of Old TB]]-Table2[[#This Row],[Sum of New TB]]</f>
        <v>0</v>
      </c>
    </row>
    <row r="14" customHeight="1" spans="2:16">
      <c r="B14" s="8" t="s">
        <v>41</v>
      </c>
      <c r="C14" s="9" t="s">
        <v>42</v>
      </c>
      <c r="D14" s="1">
        <v>-159315.92</v>
      </c>
      <c r="E14" s="9"/>
      <c r="G14" s="1" t="s">
        <v>18</v>
      </c>
      <c r="H14" s="1" t="s">
        <v>19</v>
      </c>
      <c r="I14" s="2">
        <v>7045.07</v>
      </c>
      <c r="J14" s="2">
        <v>7045.07</v>
      </c>
      <c r="L14" s="12" t="s">
        <v>39</v>
      </c>
      <c r="M14" s="9" t="s">
        <v>40</v>
      </c>
      <c r="N14" s="21">
        <v>-7913702.43</v>
      </c>
      <c r="O14" s="22">
        <v>-9205428.99</v>
      </c>
      <c r="P14" s="23">
        <f>Table2[[#This Row],[Sum of Old TB]]-Table2[[#This Row],[Sum of New TB]]</f>
        <v>1291726.56</v>
      </c>
    </row>
    <row r="15" customHeight="1" spans="2:16">
      <c r="B15" s="8" t="s">
        <v>43</v>
      </c>
      <c r="C15" s="9" t="s">
        <v>44</v>
      </c>
      <c r="D15" s="1">
        <v>6211.55</v>
      </c>
      <c r="E15" s="9"/>
      <c r="G15" s="1" t="s">
        <v>20</v>
      </c>
      <c r="H15" s="1" t="s">
        <v>21</v>
      </c>
      <c r="J15" s="2">
        <v>-500</v>
      </c>
      <c r="L15" s="12" t="s">
        <v>41</v>
      </c>
      <c r="M15" s="9" t="s">
        <v>42</v>
      </c>
      <c r="N15" s="21">
        <v>-159315.92</v>
      </c>
      <c r="O15" s="22">
        <v>-159315.92</v>
      </c>
      <c r="P15" s="23">
        <f>Table2[[#This Row],[Sum of Old TB]]-Table2[[#This Row],[Sum of New TB]]</f>
        <v>0</v>
      </c>
    </row>
    <row r="16" customHeight="1" spans="2:16">
      <c r="B16" s="8" t="s">
        <v>45</v>
      </c>
      <c r="C16" s="9" t="s">
        <v>42</v>
      </c>
      <c r="D16" s="1">
        <v>-8048.8</v>
      </c>
      <c r="E16" s="9"/>
      <c r="G16" s="1" t="s">
        <v>22</v>
      </c>
      <c r="H16" s="1" t="s">
        <v>23</v>
      </c>
      <c r="I16" s="2">
        <v>975400.76</v>
      </c>
      <c r="J16" s="2">
        <v>975400.76</v>
      </c>
      <c r="L16" s="12" t="s">
        <v>43</v>
      </c>
      <c r="M16" s="9" t="s">
        <v>44</v>
      </c>
      <c r="N16" s="21">
        <v>6211.55</v>
      </c>
      <c r="O16" s="22">
        <v>6211.55</v>
      </c>
      <c r="P16" s="23">
        <f>Table2[[#This Row],[Sum of Old TB]]-Table2[[#This Row],[Sum of New TB]]</f>
        <v>0</v>
      </c>
    </row>
    <row r="17" customHeight="1" spans="2:16">
      <c r="B17" s="8" t="s">
        <v>46</v>
      </c>
      <c r="C17" s="9" t="s">
        <v>47</v>
      </c>
      <c r="D17" s="1">
        <v>182.01</v>
      </c>
      <c r="E17" s="9"/>
      <c r="G17" s="1" t="s">
        <v>39</v>
      </c>
      <c r="H17" s="1" t="s">
        <v>40</v>
      </c>
      <c r="I17" s="2">
        <v>-7913702.43</v>
      </c>
      <c r="J17" s="2">
        <v>-9205428.99</v>
      </c>
      <c r="L17" s="12" t="s">
        <v>45</v>
      </c>
      <c r="M17" s="9" t="s">
        <v>42</v>
      </c>
      <c r="N17" s="21">
        <v>-8048.8</v>
      </c>
      <c r="O17" s="22">
        <v>-8048.8</v>
      </c>
      <c r="P17" s="23">
        <f>Table2[[#This Row],[Sum of Old TB]]-Table2[[#This Row],[Sum of New TB]]</f>
        <v>0</v>
      </c>
    </row>
    <row r="18" customHeight="1" spans="2:16">
      <c r="B18" s="8" t="s">
        <v>24</v>
      </c>
      <c r="C18" s="9" t="s">
        <v>25</v>
      </c>
      <c r="D18" s="1">
        <v>-22045</v>
      </c>
      <c r="E18" s="9"/>
      <c r="G18" s="1" t="s">
        <v>41</v>
      </c>
      <c r="H18" s="1" t="s">
        <v>42</v>
      </c>
      <c r="I18" s="2">
        <v>-159315.92</v>
      </c>
      <c r="J18" s="2">
        <v>-159315.92</v>
      </c>
      <c r="L18" s="12" t="s">
        <v>46</v>
      </c>
      <c r="M18" s="9" t="s">
        <v>47</v>
      </c>
      <c r="N18" s="21">
        <v>182.01</v>
      </c>
      <c r="O18" s="22">
        <v>182.01</v>
      </c>
      <c r="P18" s="23">
        <f>Table2[[#This Row],[Sum of Old TB]]-Table2[[#This Row],[Sum of New TB]]</f>
        <v>0</v>
      </c>
    </row>
    <row r="19" customHeight="1" spans="2:16">
      <c r="B19" s="8" t="s">
        <v>48</v>
      </c>
      <c r="C19" s="9" t="s">
        <v>49</v>
      </c>
      <c r="D19" s="1">
        <v>-252995.56</v>
      </c>
      <c r="E19" s="9"/>
      <c r="G19" s="1" t="s">
        <v>43</v>
      </c>
      <c r="H19" s="1" t="s">
        <v>44</v>
      </c>
      <c r="I19" s="2">
        <v>6211.55</v>
      </c>
      <c r="J19" s="2">
        <v>6211.55</v>
      </c>
      <c r="L19" s="12" t="s">
        <v>24</v>
      </c>
      <c r="M19" s="9" t="s">
        <v>25</v>
      </c>
      <c r="N19" s="21">
        <v>-22045</v>
      </c>
      <c r="O19" s="22">
        <v>-22045</v>
      </c>
      <c r="P19" s="23">
        <f>Table2[[#This Row],[Sum of Old TB]]-Table2[[#This Row],[Sum of New TB]]</f>
        <v>0</v>
      </c>
    </row>
    <row r="20" customHeight="1" spans="2:16">
      <c r="B20" s="8" t="s">
        <v>50</v>
      </c>
      <c r="C20" s="9" t="s">
        <v>51</v>
      </c>
      <c r="D20" s="1">
        <v>-69762.05</v>
      </c>
      <c r="E20" s="9"/>
      <c r="G20" s="1" t="s">
        <v>45</v>
      </c>
      <c r="H20" s="1" t="s">
        <v>42</v>
      </c>
      <c r="I20" s="2">
        <v>-8048.8</v>
      </c>
      <c r="J20" s="2">
        <v>-8048.8</v>
      </c>
      <c r="L20" s="12" t="s">
        <v>48</v>
      </c>
      <c r="M20" s="9" t="s">
        <v>49</v>
      </c>
      <c r="N20" s="21">
        <v>-252995.56</v>
      </c>
      <c r="O20" s="22">
        <v>-20717.82</v>
      </c>
      <c r="P20" s="23">
        <f>Table2[[#This Row],[Sum of Old TB]]-Table2[[#This Row],[Sum of New TB]]</f>
        <v>-232277.74</v>
      </c>
    </row>
    <row r="21" customHeight="1" spans="2:16">
      <c r="B21" s="8" t="s">
        <v>52</v>
      </c>
      <c r="C21" s="9" t="s">
        <v>53</v>
      </c>
      <c r="D21" s="1">
        <v>2538</v>
      </c>
      <c r="E21" s="9"/>
      <c r="G21" s="1" t="s">
        <v>46</v>
      </c>
      <c r="H21" s="1" t="s">
        <v>47</v>
      </c>
      <c r="I21" s="2">
        <v>182.01</v>
      </c>
      <c r="J21" s="2">
        <v>182.01</v>
      </c>
      <c r="L21" s="12" t="s">
        <v>50</v>
      </c>
      <c r="M21" s="9" t="s">
        <v>51</v>
      </c>
      <c r="N21" s="21">
        <v>-69762.05</v>
      </c>
      <c r="O21" s="22">
        <v>-69762.05</v>
      </c>
      <c r="P21" s="23">
        <f>Table2[[#This Row],[Sum of Old TB]]-Table2[[#This Row],[Sum of New TB]]</f>
        <v>0</v>
      </c>
    </row>
    <row r="22" customHeight="1" spans="2:16">
      <c r="B22" s="8" t="s">
        <v>54</v>
      </c>
      <c r="C22" s="9" t="s">
        <v>55</v>
      </c>
      <c r="D22" s="1">
        <v>-3176.21</v>
      </c>
      <c r="E22" s="9"/>
      <c r="G22" s="1" t="s">
        <v>24</v>
      </c>
      <c r="H22" s="1" t="s">
        <v>25</v>
      </c>
      <c r="I22" s="2">
        <v>-22045</v>
      </c>
      <c r="J22" s="2">
        <v>-22045</v>
      </c>
      <c r="L22" s="12" t="s">
        <v>52</v>
      </c>
      <c r="M22" s="9" t="s">
        <v>53</v>
      </c>
      <c r="N22" s="21">
        <v>2538</v>
      </c>
      <c r="O22" s="22">
        <v>2538</v>
      </c>
      <c r="P22" s="23">
        <f>Table2[[#This Row],[Sum of Old TB]]-Table2[[#This Row],[Sum of New TB]]</f>
        <v>0</v>
      </c>
    </row>
    <row r="23" customHeight="1" spans="2:16">
      <c r="B23" s="8" t="s">
        <v>56</v>
      </c>
      <c r="C23" s="9" t="s">
        <v>57</v>
      </c>
      <c r="D23" s="1">
        <v>-539</v>
      </c>
      <c r="E23" s="9"/>
      <c r="G23" s="1" t="s">
        <v>48</v>
      </c>
      <c r="H23" s="1" t="s">
        <v>49</v>
      </c>
      <c r="I23" s="2">
        <v>-252995.56</v>
      </c>
      <c r="J23" s="2">
        <v>-20717.82</v>
      </c>
      <c r="L23" s="12" t="s">
        <v>54</v>
      </c>
      <c r="M23" s="9" t="s">
        <v>55</v>
      </c>
      <c r="N23" s="21">
        <v>-3176.21</v>
      </c>
      <c r="O23" s="22">
        <v>-3176.21</v>
      </c>
      <c r="P23" s="23">
        <f>Table2[[#This Row],[Sum of Old TB]]-Table2[[#This Row],[Sum of New TB]]</f>
        <v>0</v>
      </c>
    </row>
    <row r="24" customHeight="1" spans="2:16">
      <c r="B24" s="8" t="s">
        <v>58</v>
      </c>
      <c r="C24" s="9" t="s">
        <v>59</v>
      </c>
      <c r="D24" s="1">
        <v>-4622.65</v>
      </c>
      <c r="E24" s="9"/>
      <c r="G24" s="1" t="s">
        <v>50</v>
      </c>
      <c r="H24" s="1" t="s">
        <v>51</v>
      </c>
      <c r="I24" s="2">
        <v>-69762.05</v>
      </c>
      <c r="J24" s="2">
        <v>-69762.05</v>
      </c>
      <c r="L24" s="12" t="s">
        <v>56</v>
      </c>
      <c r="M24" s="9" t="s">
        <v>57</v>
      </c>
      <c r="N24" s="21">
        <v>-539</v>
      </c>
      <c r="O24" s="22">
        <v>-539</v>
      </c>
      <c r="P24" s="23">
        <f>Table2[[#This Row],[Sum of Old TB]]-Table2[[#This Row],[Sum of New TB]]</f>
        <v>0</v>
      </c>
    </row>
    <row r="25" customHeight="1" spans="2:16">
      <c r="B25" s="8" t="s">
        <v>60</v>
      </c>
      <c r="C25" s="9" t="s">
        <v>61</v>
      </c>
      <c r="D25" s="1">
        <v>-49163.35</v>
      </c>
      <c r="E25" s="9"/>
      <c r="G25" s="1" t="s">
        <v>52</v>
      </c>
      <c r="H25" s="1" t="s">
        <v>53</v>
      </c>
      <c r="I25" s="2">
        <v>2538</v>
      </c>
      <c r="J25" s="2">
        <v>2538</v>
      </c>
      <c r="L25" s="12" t="s">
        <v>58</v>
      </c>
      <c r="M25" s="9" t="s">
        <v>59</v>
      </c>
      <c r="N25" s="21">
        <v>-4622.65</v>
      </c>
      <c r="O25" s="22">
        <v>-4622.65</v>
      </c>
      <c r="P25" s="23">
        <f>Table2[[#This Row],[Sum of Old TB]]-Table2[[#This Row],[Sum of New TB]]</f>
        <v>0</v>
      </c>
    </row>
    <row r="26" customHeight="1" spans="2:16">
      <c r="B26" s="8" t="s">
        <v>62</v>
      </c>
      <c r="C26" s="9" t="s">
        <v>63</v>
      </c>
      <c r="D26" s="1">
        <v>499935.85</v>
      </c>
      <c r="E26" s="9"/>
      <c r="G26" s="1" t="s">
        <v>54</v>
      </c>
      <c r="H26" s="1" t="s">
        <v>55</v>
      </c>
      <c r="I26" s="2">
        <v>-3176.21</v>
      </c>
      <c r="J26" s="2">
        <v>-3176.21</v>
      </c>
      <c r="L26" s="12" t="s">
        <v>60</v>
      </c>
      <c r="M26" s="9" t="s">
        <v>61</v>
      </c>
      <c r="N26" s="21">
        <v>-49163.35</v>
      </c>
      <c r="O26" s="22">
        <v>-49163.35</v>
      </c>
      <c r="P26" s="23">
        <f>Table2[[#This Row],[Sum of Old TB]]-Table2[[#This Row],[Sum of New TB]]</f>
        <v>0</v>
      </c>
    </row>
    <row r="27" customHeight="1" spans="2:16">
      <c r="B27" s="8" t="s">
        <v>64</v>
      </c>
      <c r="C27" s="9" t="s">
        <v>65</v>
      </c>
      <c r="D27" s="1">
        <v>238190.96</v>
      </c>
      <c r="E27" s="9"/>
      <c r="G27" s="1" t="s">
        <v>56</v>
      </c>
      <c r="H27" s="1" t="s">
        <v>57</v>
      </c>
      <c r="I27" s="2">
        <v>-539</v>
      </c>
      <c r="J27" s="2">
        <v>-539</v>
      </c>
      <c r="L27" s="12" t="s">
        <v>62</v>
      </c>
      <c r="M27" s="9" t="s">
        <v>63</v>
      </c>
      <c r="N27" s="21">
        <v>499935.85</v>
      </c>
      <c r="O27" s="22">
        <v>499935.85</v>
      </c>
      <c r="P27" s="23">
        <f>Table2[[#This Row],[Sum of Old TB]]-Table2[[#This Row],[Sum of New TB]]</f>
        <v>0</v>
      </c>
    </row>
    <row r="28" customHeight="1" spans="2:16">
      <c r="B28" s="8" t="s">
        <v>66</v>
      </c>
      <c r="C28" s="9" t="s">
        <v>67</v>
      </c>
      <c r="D28" s="1">
        <v>87847.01</v>
      </c>
      <c r="E28" s="9"/>
      <c r="G28" s="1" t="s">
        <v>58</v>
      </c>
      <c r="H28" s="1" t="s">
        <v>59</v>
      </c>
      <c r="I28" s="2">
        <v>-4622.65</v>
      </c>
      <c r="J28" s="2">
        <v>-4622.65</v>
      </c>
      <c r="L28" s="12" t="s">
        <v>64</v>
      </c>
      <c r="M28" s="9" t="s">
        <v>65</v>
      </c>
      <c r="N28" s="21">
        <v>238190.96</v>
      </c>
      <c r="O28" s="22">
        <v>657354.77</v>
      </c>
      <c r="P28" s="23">
        <f>Table2[[#This Row],[Sum of Old TB]]-Table2[[#This Row],[Sum of New TB]]</f>
        <v>-419163.81</v>
      </c>
    </row>
    <row r="29" customHeight="1" spans="2:16">
      <c r="B29" s="8" t="s">
        <v>68</v>
      </c>
      <c r="C29" s="9" t="s">
        <v>69</v>
      </c>
      <c r="D29" s="1">
        <v>-1223946.77</v>
      </c>
      <c r="E29" s="9"/>
      <c r="G29" s="1" t="s">
        <v>60</v>
      </c>
      <c r="H29" s="1" t="s">
        <v>61</v>
      </c>
      <c r="I29" s="2">
        <v>-49163.35</v>
      </c>
      <c r="J29" s="2">
        <v>-49163.35</v>
      </c>
      <c r="L29" s="12" t="s">
        <v>66</v>
      </c>
      <c r="M29" s="9" t="s">
        <v>67</v>
      </c>
      <c r="N29" s="21">
        <v>87847.01</v>
      </c>
      <c r="O29" s="22">
        <v>-657354.77</v>
      </c>
      <c r="P29" s="23">
        <f>Table2[[#This Row],[Sum of Old TB]]-Table2[[#This Row],[Sum of New TB]]</f>
        <v>745201.78</v>
      </c>
    </row>
    <row r="30" customHeight="1" spans="2:16">
      <c r="B30" s="8" t="s">
        <v>70</v>
      </c>
      <c r="C30" s="9" t="s">
        <v>71</v>
      </c>
      <c r="D30" s="1">
        <v>-131559</v>
      </c>
      <c r="E30" s="9"/>
      <c r="G30" s="1" t="s">
        <v>62</v>
      </c>
      <c r="H30" s="1" t="s">
        <v>63</v>
      </c>
      <c r="I30" s="2">
        <v>499935.85</v>
      </c>
      <c r="J30" s="2">
        <v>499935.85</v>
      </c>
      <c r="L30" s="12" t="s">
        <v>68</v>
      </c>
      <c r="M30" s="9" t="s">
        <v>69</v>
      </c>
      <c r="N30" s="21">
        <v>-1223946.77</v>
      </c>
      <c r="O30" s="22">
        <v>-950261</v>
      </c>
      <c r="P30" s="23">
        <f>Table2[[#This Row],[Sum of Old TB]]-Table2[[#This Row],[Sum of New TB]]</f>
        <v>-273685.77</v>
      </c>
    </row>
    <row r="31" customHeight="1" spans="2:16">
      <c r="B31" s="8" t="s">
        <v>72</v>
      </c>
      <c r="C31" s="9" t="s">
        <v>73</v>
      </c>
      <c r="D31" s="1">
        <v>-6874.01</v>
      </c>
      <c r="E31" s="9"/>
      <c r="G31" s="1" t="s">
        <v>64</v>
      </c>
      <c r="H31" s="1" t="s">
        <v>65</v>
      </c>
      <c r="I31" s="2">
        <v>238190.96</v>
      </c>
      <c r="J31" s="2">
        <v>657354.77</v>
      </c>
      <c r="L31" s="12" t="s">
        <v>70</v>
      </c>
      <c r="M31" s="9" t="s">
        <v>71</v>
      </c>
      <c r="N31" s="21">
        <v>-131559</v>
      </c>
      <c r="O31" s="22">
        <v>-131559</v>
      </c>
      <c r="P31" s="23">
        <f>Table2[[#This Row],[Sum of Old TB]]-Table2[[#This Row],[Sum of New TB]]</f>
        <v>0</v>
      </c>
    </row>
    <row r="32" customHeight="1" spans="2:16">
      <c r="B32" s="8" t="s">
        <v>74</v>
      </c>
      <c r="C32" s="9" t="s">
        <v>75</v>
      </c>
      <c r="D32" s="1">
        <v>-31529.2</v>
      </c>
      <c r="E32" s="9"/>
      <c r="G32" s="1" t="s">
        <v>66</v>
      </c>
      <c r="H32" s="1" t="s">
        <v>67</v>
      </c>
      <c r="I32" s="2">
        <v>87847.01</v>
      </c>
      <c r="J32" s="2">
        <v>-657354.77</v>
      </c>
      <c r="L32" s="12" t="s">
        <v>72</v>
      </c>
      <c r="M32" s="9" t="s">
        <v>73</v>
      </c>
      <c r="N32" s="21">
        <v>-6874.01</v>
      </c>
      <c r="O32" s="22">
        <v>-6874.01</v>
      </c>
      <c r="P32" s="23">
        <f>Table2[[#This Row],[Sum of Old TB]]-Table2[[#This Row],[Sum of New TB]]</f>
        <v>0</v>
      </c>
    </row>
    <row r="33" customHeight="1" spans="2:16">
      <c r="B33" s="8" t="s">
        <v>76</v>
      </c>
      <c r="C33" s="9" t="s">
        <v>77</v>
      </c>
      <c r="D33" s="1">
        <v>-88787.77</v>
      </c>
      <c r="E33" s="9"/>
      <c r="G33" s="1" t="s">
        <v>68</v>
      </c>
      <c r="H33" s="1" t="s">
        <v>69</v>
      </c>
      <c r="I33" s="2">
        <v>-1223946.77</v>
      </c>
      <c r="J33" s="2">
        <v>-950261</v>
      </c>
      <c r="L33" s="12" t="s">
        <v>74</v>
      </c>
      <c r="M33" s="9" t="s">
        <v>75</v>
      </c>
      <c r="N33" s="21">
        <v>-31529.2</v>
      </c>
      <c r="O33" s="22">
        <v>-31529.2</v>
      </c>
      <c r="P33" s="23">
        <f>Table2[[#This Row],[Sum of Old TB]]-Table2[[#This Row],[Sum of New TB]]</f>
        <v>0</v>
      </c>
    </row>
    <row r="34" customHeight="1" spans="2:16">
      <c r="B34" s="8" t="s">
        <v>78</v>
      </c>
      <c r="C34" s="9" t="s">
        <v>79</v>
      </c>
      <c r="D34" s="1">
        <v>-45988.8</v>
      </c>
      <c r="E34" s="9"/>
      <c r="G34" s="1" t="s">
        <v>70</v>
      </c>
      <c r="H34" s="1" t="s">
        <v>71</v>
      </c>
      <c r="I34" s="2">
        <v>-131559</v>
      </c>
      <c r="J34" s="2">
        <v>-131559</v>
      </c>
      <c r="L34" s="12" t="s">
        <v>76</v>
      </c>
      <c r="M34" s="9" t="s">
        <v>77</v>
      </c>
      <c r="N34" s="21">
        <v>-88787.77</v>
      </c>
      <c r="O34" s="22">
        <v>-88787.77</v>
      </c>
      <c r="P34" s="23">
        <f>Table2[[#This Row],[Sum of Old TB]]-Table2[[#This Row],[Sum of New TB]]</f>
        <v>0</v>
      </c>
    </row>
    <row r="35" customHeight="1" spans="2:16">
      <c r="B35" s="8" t="s">
        <v>80</v>
      </c>
      <c r="C35" s="9" t="s">
        <v>81</v>
      </c>
      <c r="D35" s="1">
        <v>-2525.75</v>
      </c>
      <c r="E35" s="9"/>
      <c r="G35" s="1" t="s">
        <v>72</v>
      </c>
      <c r="H35" s="1" t="s">
        <v>73</v>
      </c>
      <c r="I35" s="2">
        <v>-6874.01</v>
      </c>
      <c r="J35" s="2">
        <v>-6874.01</v>
      </c>
      <c r="L35" s="12" t="s">
        <v>82</v>
      </c>
      <c r="M35" s="9" t="s">
        <v>83</v>
      </c>
      <c r="N35" s="21"/>
      <c r="O35" s="22">
        <v>-2271.35</v>
      </c>
      <c r="P35" s="23">
        <f>Table2[[#This Row],[Sum of Old TB]]-Table2[[#This Row],[Sum of New TB]]</f>
        <v>2271.35</v>
      </c>
    </row>
    <row r="36" customHeight="1" spans="2:16">
      <c r="B36" s="8" t="s">
        <v>84</v>
      </c>
      <c r="C36" s="9" t="s">
        <v>85</v>
      </c>
      <c r="D36" s="1">
        <v>-1391.75</v>
      </c>
      <c r="E36" s="9"/>
      <c r="G36" s="1" t="s">
        <v>74</v>
      </c>
      <c r="H36" s="1" t="s">
        <v>75</v>
      </c>
      <c r="I36" s="2">
        <v>-31529.2</v>
      </c>
      <c r="J36" s="2">
        <v>-31529.2</v>
      </c>
      <c r="L36" s="12" t="s">
        <v>86</v>
      </c>
      <c r="M36" s="9" t="s">
        <v>87</v>
      </c>
      <c r="N36" s="21"/>
      <c r="O36" s="22">
        <v>-1448.51</v>
      </c>
      <c r="P36" s="23">
        <f>Table2[[#This Row],[Sum of Old TB]]-Table2[[#This Row],[Sum of New TB]]</f>
        <v>1448.51</v>
      </c>
    </row>
    <row r="37" customHeight="1" spans="2:16">
      <c r="B37" s="8" t="s">
        <v>88</v>
      </c>
      <c r="C37" s="9" t="s">
        <v>89</v>
      </c>
      <c r="D37" s="1">
        <v>-16800</v>
      </c>
      <c r="E37" s="9"/>
      <c r="G37" s="1" t="s">
        <v>76</v>
      </c>
      <c r="H37" s="1" t="s">
        <v>77</v>
      </c>
      <c r="I37" s="2">
        <v>-88787.77</v>
      </c>
      <c r="J37" s="2">
        <v>-88787.77</v>
      </c>
      <c r="L37" s="12" t="s">
        <v>78</v>
      </c>
      <c r="M37" s="9" t="s">
        <v>79</v>
      </c>
      <c r="N37" s="21">
        <v>-45988.8</v>
      </c>
      <c r="O37" s="22">
        <v>-28786</v>
      </c>
      <c r="P37" s="23">
        <f>Table2[[#This Row],[Sum of Old TB]]-Table2[[#This Row],[Sum of New TB]]</f>
        <v>-17202.8</v>
      </c>
    </row>
    <row r="38" customHeight="1" spans="2:16">
      <c r="B38" s="8" t="s">
        <v>90</v>
      </c>
      <c r="C38" s="9" t="s">
        <v>91</v>
      </c>
      <c r="D38" s="1">
        <v>-210069.49</v>
      </c>
      <c r="E38" s="9"/>
      <c r="G38" s="1" t="s">
        <v>82</v>
      </c>
      <c r="H38" s="1" t="s">
        <v>83</v>
      </c>
      <c r="J38" s="2">
        <v>-2271.35</v>
      </c>
      <c r="L38" s="12" t="s">
        <v>80</v>
      </c>
      <c r="M38" s="9" t="s">
        <v>81</v>
      </c>
      <c r="N38" s="21">
        <v>-2525.75</v>
      </c>
      <c r="O38" s="22">
        <v>-2525.75</v>
      </c>
      <c r="P38" s="23">
        <f>Table2[[#This Row],[Sum of Old TB]]-Table2[[#This Row],[Sum of New TB]]</f>
        <v>0</v>
      </c>
    </row>
    <row r="39" customHeight="1" spans="2:16">
      <c r="B39" s="8" t="s">
        <v>92</v>
      </c>
      <c r="C39" s="9" t="s">
        <v>93</v>
      </c>
      <c r="D39" s="1">
        <v>-75360.24</v>
      </c>
      <c r="E39" s="9"/>
      <c r="G39" s="1" t="s">
        <v>86</v>
      </c>
      <c r="H39" s="1" t="s">
        <v>87</v>
      </c>
      <c r="J39" s="2">
        <v>-1448.51</v>
      </c>
      <c r="L39" s="12" t="s">
        <v>84</v>
      </c>
      <c r="M39" s="9" t="s">
        <v>85</v>
      </c>
      <c r="N39" s="21">
        <v>-1391.75</v>
      </c>
      <c r="O39" s="22">
        <v>-1391.75</v>
      </c>
      <c r="P39" s="23">
        <f>Table2[[#This Row],[Sum of Old TB]]-Table2[[#This Row],[Sum of New TB]]</f>
        <v>0</v>
      </c>
    </row>
    <row r="40" customHeight="1" spans="2:16">
      <c r="B40" s="8" t="s">
        <v>94</v>
      </c>
      <c r="C40" s="9" t="s">
        <v>95</v>
      </c>
      <c r="D40" s="1">
        <v>-111612.59</v>
      </c>
      <c r="E40" s="9"/>
      <c r="G40" s="1" t="s">
        <v>78</v>
      </c>
      <c r="H40" s="1" t="s">
        <v>79</v>
      </c>
      <c r="I40" s="2">
        <v>-45988.8</v>
      </c>
      <c r="J40" s="2">
        <v>-28786</v>
      </c>
      <c r="L40" s="12" t="s">
        <v>88</v>
      </c>
      <c r="M40" s="9" t="s">
        <v>89</v>
      </c>
      <c r="N40" s="21">
        <v>-16800</v>
      </c>
      <c r="O40" s="22">
        <v>-16800</v>
      </c>
      <c r="P40" s="23">
        <f>Table2[[#This Row],[Sum of Old TB]]-Table2[[#This Row],[Sum of New TB]]</f>
        <v>0</v>
      </c>
    </row>
    <row r="41" customHeight="1" spans="2:16">
      <c r="B41" s="8" t="s">
        <v>96</v>
      </c>
      <c r="C41" s="9" t="s">
        <v>97</v>
      </c>
      <c r="D41" s="1">
        <v>-3688</v>
      </c>
      <c r="E41" s="9"/>
      <c r="G41" s="1" t="s">
        <v>80</v>
      </c>
      <c r="H41" s="1" t="s">
        <v>81</v>
      </c>
      <c r="I41" s="2">
        <v>-2525.75</v>
      </c>
      <c r="J41" s="2">
        <v>-2525.75</v>
      </c>
      <c r="L41" s="12" t="s">
        <v>90</v>
      </c>
      <c r="M41" s="9" t="s">
        <v>91</v>
      </c>
      <c r="N41" s="21">
        <v>-210069.49</v>
      </c>
      <c r="O41" s="22">
        <v>-190069.49</v>
      </c>
      <c r="P41" s="23">
        <f>Table2[[#This Row],[Sum of Old TB]]-Table2[[#This Row],[Sum of New TB]]</f>
        <v>-20000</v>
      </c>
    </row>
    <row r="42" customHeight="1" spans="2:16">
      <c r="B42" s="8" t="s">
        <v>98</v>
      </c>
      <c r="C42" s="9" t="s">
        <v>99</v>
      </c>
      <c r="D42" s="1">
        <v>-970</v>
      </c>
      <c r="E42" s="9"/>
      <c r="G42" s="1" t="s">
        <v>84</v>
      </c>
      <c r="H42" s="1" t="s">
        <v>85</v>
      </c>
      <c r="I42" s="2">
        <v>-1391.75</v>
      </c>
      <c r="J42" s="2">
        <v>-1391.75</v>
      </c>
      <c r="L42" s="12" t="s">
        <v>92</v>
      </c>
      <c r="M42" s="9" t="s">
        <v>93</v>
      </c>
      <c r="N42" s="21">
        <v>-75360.24</v>
      </c>
      <c r="O42" s="22">
        <v>-75360.24</v>
      </c>
      <c r="P42" s="23">
        <f>Table2[[#This Row],[Sum of Old TB]]-Table2[[#This Row],[Sum of New TB]]</f>
        <v>0</v>
      </c>
    </row>
    <row r="43" customHeight="1" spans="2:16">
      <c r="B43" s="8" t="s">
        <v>100</v>
      </c>
      <c r="C43" s="9" t="s">
        <v>101</v>
      </c>
      <c r="D43" s="1">
        <v>-1100000</v>
      </c>
      <c r="E43" s="9"/>
      <c r="G43" s="1" t="s">
        <v>88</v>
      </c>
      <c r="H43" s="1" t="s">
        <v>89</v>
      </c>
      <c r="I43" s="2">
        <v>-16800</v>
      </c>
      <c r="J43" s="2">
        <v>-16800</v>
      </c>
      <c r="L43" s="12" t="s">
        <v>94</v>
      </c>
      <c r="M43" s="9" t="s">
        <v>95</v>
      </c>
      <c r="N43" s="21">
        <v>-111612.59</v>
      </c>
      <c r="O43" s="22">
        <v>-111612.59</v>
      </c>
      <c r="P43" s="23">
        <f>Table2[[#This Row],[Sum of Old TB]]-Table2[[#This Row],[Sum of New TB]]</f>
        <v>0</v>
      </c>
    </row>
    <row r="44" customHeight="1" spans="2:16">
      <c r="B44" s="8" t="s">
        <v>102</v>
      </c>
      <c r="C44" s="9" t="s">
        <v>103</v>
      </c>
      <c r="D44" s="1">
        <v>-800000</v>
      </c>
      <c r="E44" s="9"/>
      <c r="G44" s="1" t="s">
        <v>90</v>
      </c>
      <c r="H44" s="1" t="s">
        <v>91</v>
      </c>
      <c r="I44" s="2">
        <v>-210069.49</v>
      </c>
      <c r="J44" s="2">
        <v>-190069.49</v>
      </c>
      <c r="L44" s="12" t="s">
        <v>96</v>
      </c>
      <c r="M44" s="9" t="s">
        <v>97</v>
      </c>
      <c r="N44" s="21">
        <v>-3688</v>
      </c>
      <c r="O44" s="22">
        <v>-3688</v>
      </c>
      <c r="P44" s="23">
        <f>Table2[[#This Row],[Sum of Old TB]]-Table2[[#This Row],[Sum of New TB]]</f>
        <v>0</v>
      </c>
    </row>
    <row r="45" customHeight="1" spans="2:16">
      <c r="B45" s="8" t="s">
        <v>104</v>
      </c>
      <c r="C45" s="9" t="s">
        <v>105</v>
      </c>
      <c r="D45" s="1">
        <v>-15149.4</v>
      </c>
      <c r="E45" s="9"/>
      <c r="G45" s="1" t="s">
        <v>92</v>
      </c>
      <c r="H45" s="1" t="s">
        <v>93</v>
      </c>
      <c r="I45" s="2">
        <v>-75360.24</v>
      </c>
      <c r="J45" s="2">
        <v>-75360.24</v>
      </c>
      <c r="L45" s="12" t="s">
        <v>98</v>
      </c>
      <c r="M45" s="9" t="s">
        <v>99</v>
      </c>
      <c r="N45" s="21">
        <v>-970</v>
      </c>
      <c r="O45" s="22">
        <v>-970</v>
      </c>
      <c r="P45" s="23">
        <f>Table2[[#This Row],[Sum of Old TB]]-Table2[[#This Row],[Sum of New TB]]</f>
        <v>0</v>
      </c>
    </row>
    <row r="46" customHeight="1" spans="2:16">
      <c r="B46" s="8" t="s">
        <v>106</v>
      </c>
      <c r="C46" s="9" t="s">
        <v>107</v>
      </c>
      <c r="D46" s="1">
        <v>334297.94</v>
      </c>
      <c r="E46" s="9"/>
      <c r="G46" s="1" t="s">
        <v>94</v>
      </c>
      <c r="H46" s="1" t="s">
        <v>95</v>
      </c>
      <c r="I46" s="2">
        <v>-111612.59</v>
      </c>
      <c r="J46" s="2">
        <v>-111612.59</v>
      </c>
      <c r="L46" s="12" t="s">
        <v>100</v>
      </c>
      <c r="M46" s="9" t="s">
        <v>101</v>
      </c>
      <c r="N46" s="21">
        <v>-1100000</v>
      </c>
      <c r="O46" s="22">
        <v>-1100000</v>
      </c>
      <c r="P46" s="23">
        <f>Table2[[#This Row],[Sum of Old TB]]-Table2[[#This Row],[Sum of New TB]]</f>
        <v>0</v>
      </c>
    </row>
    <row r="47" customHeight="1" spans="2:16">
      <c r="B47" s="8" t="s">
        <v>108</v>
      </c>
      <c r="C47" s="9" t="s">
        <v>109</v>
      </c>
      <c r="D47" s="1">
        <v>27834.02</v>
      </c>
      <c r="E47" s="9"/>
      <c r="G47" s="1" t="s">
        <v>96</v>
      </c>
      <c r="H47" s="1" t="s">
        <v>97</v>
      </c>
      <c r="I47" s="2">
        <v>-3688</v>
      </c>
      <c r="J47" s="2">
        <v>-3688</v>
      </c>
      <c r="L47" s="12" t="s">
        <v>102</v>
      </c>
      <c r="M47" s="9" t="s">
        <v>103</v>
      </c>
      <c r="N47" s="21">
        <v>-800000</v>
      </c>
      <c r="O47" s="22">
        <v>-800000</v>
      </c>
      <c r="P47" s="23">
        <f>Table2[[#This Row],[Sum of Old TB]]-Table2[[#This Row],[Sum of New TB]]</f>
        <v>0</v>
      </c>
    </row>
    <row r="48" customHeight="1" spans="2:16">
      <c r="B48" s="8" t="s">
        <v>110</v>
      </c>
      <c r="C48" s="9" t="s">
        <v>111</v>
      </c>
      <c r="D48" s="1">
        <v>95997.9</v>
      </c>
      <c r="E48" s="9"/>
      <c r="G48" s="1" t="s">
        <v>98</v>
      </c>
      <c r="H48" s="1" t="s">
        <v>99</v>
      </c>
      <c r="I48" s="2">
        <v>-970</v>
      </c>
      <c r="J48" s="2">
        <v>-970</v>
      </c>
      <c r="L48" s="12" t="s">
        <v>104</v>
      </c>
      <c r="M48" s="9" t="s">
        <v>105</v>
      </c>
      <c r="N48" s="21">
        <v>-15149.4</v>
      </c>
      <c r="O48" s="22"/>
      <c r="P48" s="23">
        <f>Table2[[#This Row],[Sum of Old TB]]-Table2[[#This Row],[Sum of New TB]]</f>
        <v>-15149.4</v>
      </c>
    </row>
    <row r="49" customHeight="1" spans="2:16">
      <c r="B49" s="8" t="s">
        <v>112</v>
      </c>
      <c r="C49" s="9" t="s">
        <v>113</v>
      </c>
      <c r="D49" s="1">
        <v>10950</v>
      </c>
      <c r="E49" s="9"/>
      <c r="G49" s="1" t="s">
        <v>100</v>
      </c>
      <c r="H49" s="1" t="s">
        <v>101</v>
      </c>
      <c r="I49" s="2">
        <v>-1100000</v>
      </c>
      <c r="J49" s="2">
        <v>-1100000</v>
      </c>
      <c r="L49" s="12" t="s">
        <v>114</v>
      </c>
      <c r="M49" s="9" t="s">
        <v>115</v>
      </c>
      <c r="N49" s="21"/>
      <c r="O49" s="22">
        <v>-1027222.69</v>
      </c>
      <c r="P49" s="23">
        <f>Table2[[#This Row],[Sum of Old TB]]-Table2[[#This Row],[Sum of New TB]]</f>
        <v>1027222.69</v>
      </c>
    </row>
    <row r="50" customHeight="1" spans="2:16">
      <c r="B50" s="8" t="s">
        <v>116</v>
      </c>
      <c r="C50" s="9" t="s">
        <v>117</v>
      </c>
      <c r="D50" s="1">
        <v>180542.98</v>
      </c>
      <c r="E50" s="9"/>
      <c r="G50" s="1" t="s">
        <v>102</v>
      </c>
      <c r="H50" s="1" t="s">
        <v>103</v>
      </c>
      <c r="I50" s="2">
        <v>-800000</v>
      </c>
      <c r="J50" s="2">
        <v>-800000</v>
      </c>
      <c r="L50" s="12" t="s">
        <v>118</v>
      </c>
      <c r="M50" s="9" t="s">
        <v>119</v>
      </c>
      <c r="N50" s="21"/>
      <c r="O50" s="22">
        <v>-250000</v>
      </c>
      <c r="P50" s="23">
        <f>Table2[[#This Row],[Sum of Old TB]]-Table2[[#This Row],[Sum of New TB]]</f>
        <v>250000</v>
      </c>
    </row>
    <row r="51" customHeight="1" spans="2:16">
      <c r="B51" s="8" t="s">
        <v>120</v>
      </c>
      <c r="C51" s="9" t="s">
        <v>121</v>
      </c>
      <c r="D51" s="1">
        <v>19752.59</v>
      </c>
      <c r="E51" s="9"/>
      <c r="G51" s="1" t="s">
        <v>104</v>
      </c>
      <c r="H51" s="1" t="s">
        <v>105</v>
      </c>
      <c r="I51" s="2">
        <v>-15149.4</v>
      </c>
      <c r="L51" s="12" t="s">
        <v>106</v>
      </c>
      <c r="M51" s="9" t="s">
        <v>107</v>
      </c>
      <c r="N51" s="21">
        <v>334297.94</v>
      </c>
      <c r="O51" s="22">
        <v>388178.94</v>
      </c>
      <c r="P51" s="23">
        <f>Table2[[#This Row],[Sum of Old TB]]-Table2[[#This Row],[Sum of New TB]]</f>
        <v>-53881</v>
      </c>
    </row>
    <row r="52" customHeight="1" spans="2:16">
      <c r="B52" s="8" t="s">
        <v>122</v>
      </c>
      <c r="C52" s="9" t="s">
        <v>123</v>
      </c>
      <c r="D52" s="1">
        <v>15526</v>
      </c>
      <c r="E52" s="9"/>
      <c r="G52" s="1" t="s">
        <v>114</v>
      </c>
      <c r="H52" s="1" t="s">
        <v>115</v>
      </c>
      <c r="J52" s="2">
        <v>-1027222.69</v>
      </c>
      <c r="L52" s="12" t="s">
        <v>108</v>
      </c>
      <c r="M52" s="9" t="s">
        <v>109</v>
      </c>
      <c r="N52" s="21">
        <v>27834.02</v>
      </c>
      <c r="O52" s="22">
        <v>27834.02</v>
      </c>
      <c r="P52" s="23">
        <f>Table2[[#This Row],[Sum of Old TB]]-Table2[[#This Row],[Sum of New TB]]</f>
        <v>0</v>
      </c>
    </row>
    <row r="53" customHeight="1" spans="2:16">
      <c r="B53" s="8" t="s">
        <v>124</v>
      </c>
      <c r="C53" s="9" t="s">
        <v>125</v>
      </c>
      <c r="D53" s="1">
        <v>21.61</v>
      </c>
      <c r="E53" s="9"/>
      <c r="G53" s="1" t="s">
        <v>118</v>
      </c>
      <c r="H53" s="1" t="s">
        <v>119</v>
      </c>
      <c r="J53" s="2">
        <v>-250000</v>
      </c>
      <c r="L53" s="12" t="s">
        <v>110</v>
      </c>
      <c r="M53" s="9" t="s">
        <v>111</v>
      </c>
      <c r="N53" s="21">
        <v>95997.9</v>
      </c>
      <c r="O53" s="22">
        <v>95997.9</v>
      </c>
      <c r="P53" s="23">
        <f>Table2[[#This Row],[Sum of Old TB]]-Table2[[#This Row],[Sum of New TB]]</f>
        <v>0</v>
      </c>
    </row>
    <row r="54" customHeight="1" spans="2:16">
      <c r="B54" s="8" t="s">
        <v>126</v>
      </c>
      <c r="C54" s="9" t="s">
        <v>127</v>
      </c>
      <c r="D54" s="1">
        <v>23612.14</v>
      </c>
      <c r="E54" s="9"/>
      <c r="G54" s="1" t="s">
        <v>106</v>
      </c>
      <c r="H54" s="1" t="s">
        <v>107</v>
      </c>
      <c r="I54" s="2">
        <v>334297.94</v>
      </c>
      <c r="J54" s="2">
        <v>388178.94</v>
      </c>
      <c r="L54" s="12" t="s">
        <v>112</v>
      </c>
      <c r="M54" s="9" t="s">
        <v>113</v>
      </c>
      <c r="N54" s="21">
        <v>10950</v>
      </c>
      <c r="O54" s="22">
        <v>10950</v>
      </c>
      <c r="P54" s="23">
        <f>Table2[[#This Row],[Sum of Old TB]]-Table2[[#This Row],[Sum of New TB]]</f>
        <v>0</v>
      </c>
    </row>
    <row r="55" customHeight="1" spans="2:16">
      <c r="B55" s="8" t="s">
        <v>128</v>
      </c>
      <c r="C55" s="9" t="s">
        <v>129</v>
      </c>
      <c r="D55" s="1">
        <v>52823.06</v>
      </c>
      <c r="E55" s="9"/>
      <c r="G55" s="1" t="s">
        <v>108</v>
      </c>
      <c r="H55" s="1" t="s">
        <v>109</v>
      </c>
      <c r="I55" s="2">
        <v>27834.02</v>
      </c>
      <c r="J55" s="2">
        <v>27834.02</v>
      </c>
      <c r="L55" s="12" t="s">
        <v>116</v>
      </c>
      <c r="M55" s="9" t="s">
        <v>117</v>
      </c>
      <c r="N55" s="21">
        <v>180542.98</v>
      </c>
      <c r="O55" s="22">
        <v>180542.98</v>
      </c>
      <c r="P55" s="23">
        <f>Table2[[#This Row],[Sum of Old TB]]-Table2[[#This Row],[Sum of New TB]]</f>
        <v>0</v>
      </c>
    </row>
    <row r="56" customHeight="1" spans="2:16">
      <c r="B56" s="8" t="s">
        <v>130</v>
      </c>
      <c r="C56" s="9" t="s">
        <v>131</v>
      </c>
      <c r="D56" s="1">
        <v>36453.12</v>
      </c>
      <c r="E56" s="9"/>
      <c r="G56" s="1" t="s">
        <v>110</v>
      </c>
      <c r="H56" s="1" t="s">
        <v>111</v>
      </c>
      <c r="I56" s="2">
        <v>95997.9</v>
      </c>
      <c r="J56" s="2">
        <v>95997.9</v>
      </c>
      <c r="L56" s="12" t="s">
        <v>120</v>
      </c>
      <c r="M56" s="9" t="s">
        <v>121</v>
      </c>
      <c r="N56" s="21">
        <v>19752.59</v>
      </c>
      <c r="O56" s="22">
        <v>13672.96</v>
      </c>
      <c r="P56" s="23">
        <f>Table2[[#This Row],[Sum of Old TB]]-Table2[[#This Row],[Sum of New TB]]</f>
        <v>6079.63</v>
      </c>
    </row>
    <row r="57" customHeight="1" spans="2:16">
      <c r="B57" s="8" t="s">
        <v>132</v>
      </c>
      <c r="C57" s="9" t="s">
        <v>133</v>
      </c>
      <c r="D57" s="1">
        <v>41031.48</v>
      </c>
      <c r="E57" s="9"/>
      <c r="G57" s="1" t="s">
        <v>112</v>
      </c>
      <c r="H57" s="1" t="s">
        <v>113</v>
      </c>
      <c r="I57" s="2">
        <v>10950</v>
      </c>
      <c r="J57" s="2">
        <v>10950</v>
      </c>
      <c r="L57" s="12" t="s">
        <v>122</v>
      </c>
      <c r="M57" s="9" t="s">
        <v>123</v>
      </c>
      <c r="N57" s="21">
        <v>15526</v>
      </c>
      <c r="O57" s="22">
        <v>15526</v>
      </c>
      <c r="P57" s="23">
        <f>Table2[[#This Row],[Sum of Old TB]]-Table2[[#This Row],[Sum of New TB]]</f>
        <v>0</v>
      </c>
    </row>
    <row r="58" customHeight="1" spans="2:16">
      <c r="B58" s="8" t="s">
        <v>134</v>
      </c>
      <c r="C58" s="9" t="s">
        <v>135</v>
      </c>
      <c r="D58" s="1">
        <v>40.09</v>
      </c>
      <c r="E58" s="9"/>
      <c r="G58" s="1" t="s">
        <v>116</v>
      </c>
      <c r="H58" s="1" t="s">
        <v>117</v>
      </c>
      <c r="I58" s="2">
        <v>180542.98</v>
      </c>
      <c r="J58" s="2">
        <v>180542.98</v>
      </c>
      <c r="L58" s="12" t="s">
        <v>124</v>
      </c>
      <c r="M58" s="9" t="s">
        <v>125</v>
      </c>
      <c r="N58" s="21">
        <v>21.61</v>
      </c>
      <c r="O58" s="22">
        <v>131.61</v>
      </c>
      <c r="P58" s="23">
        <f>Table2[[#This Row],[Sum of Old TB]]-Table2[[#This Row],[Sum of New TB]]</f>
        <v>-110</v>
      </c>
    </row>
    <row r="59" customHeight="1" spans="2:16">
      <c r="B59" s="8" t="s">
        <v>136</v>
      </c>
      <c r="C59" s="9" t="s">
        <v>137</v>
      </c>
      <c r="D59" s="1">
        <v>8152.69</v>
      </c>
      <c r="E59" s="9"/>
      <c r="G59" s="1" t="s">
        <v>120</v>
      </c>
      <c r="H59" s="1" t="s">
        <v>121</v>
      </c>
      <c r="I59" s="2">
        <v>19752.59</v>
      </c>
      <c r="J59" s="2">
        <v>13672.96</v>
      </c>
      <c r="L59" s="12" t="s">
        <v>126</v>
      </c>
      <c r="M59" s="9" t="s">
        <v>127</v>
      </c>
      <c r="N59" s="21">
        <v>23612.14</v>
      </c>
      <c r="O59" s="22">
        <v>23612.14</v>
      </c>
      <c r="P59" s="23">
        <f>Table2[[#This Row],[Sum of Old TB]]-Table2[[#This Row],[Sum of New TB]]</f>
        <v>0</v>
      </c>
    </row>
    <row r="60" customHeight="1" spans="2:16">
      <c r="B60" s="8" t="s">
        <v>138</v>
      </c>
      <c r="C60" s="9" t="s">
        <v>139</v>
      </c>
      <c r="D60" s="1">
        <v>64.99</v>
      </c>
      <c r="E60" s="9"/>
      <c r="G60" s="1" t="s">
        <v>122</v>
      </c>
      <c r="H60" s="1" t="s">
        <v>123</v>
      </c>
      <c r="I60" s="2">
        <v>15526</v>
      </c>
      <c r="J60" s="2">
        <v>15526</v>
      </c>
      <c r="L60" s="12" t="s">
        <v>128</v>
      </c>
      <c r="M60" s="9" t="s">
        <v>129</v>
      </c>
      <c r="N60" s="21">
        <v>52823.06</v>
      </c>
      <c r="O60" s="22">
        <v>52823.06</v>
      </c>
      <c r="P60" s="23">
        <f>Table2[[#This Row],[Sum of Old TB]]-Table2[[#This Row],[Sum of New TB]]</f>
        <v>0</v>
      </c>
    </row>
    <row r="61" customHeight="1" spans="2:16">
      <c r="B61" s="8" t="s">
        <v>140</v>
      </c>
      <c r="C61" s="9" t="s">
        <v>141</v>
      </c>
      <c r="D61" s="1">
        <v>351.53</v>
      </c>
      <c r="E61" s="9"/>
      <c r="G61" s="1" t="s">
        <v>124</v>
      </c>
      <c r="H61" s="1" t="s">
        <v>125</v>
      </c>
      <c r="I61" s="2">
        <v>21.61</v>
      </c>
      <c r="J61" s="2">
        <v>131.61</v>
      </c>
      <c r="L61" s="12" t="s">
        <v>130</v>
      </c>
      <c r="M61" s="9" t="s">
        <v>131</v>
      </c>
      <c r="N61" s="21">
        <v>36453.12</v>
      </c>
      <c r="O61" s="22">
        <v>26658.12</v>
      </c>
      <c r="P61" s="23">
        <f>Table2[[#This Row],[Sum of Old TB]]-Table2[[#This Row],[Sum of New TB]]</f>
        <v>9795</v>
      </c>
    </row>
    <row r="62" customHeight="1" spans="2:16">
      <c r="B62" s="8" t="s">
        <v>142</v>
      </c>
      <c r="C62" s="9" t="s">
        <v>143</v>
      </c>
      <c r="D62" s="1">
        <v>13616.17</v>
      </c>
      <c r="E62" s="9"/>
      <c r="G62" s="1" t="s">
        <v>126</v>
      </c>
      <c r="H62" s="1" t="s">
        <v>127</v>
      </c>
      <c r="I62" s="2">
        <v>23612.14</v>
      </c>
      <c r="J62" s="2">
        <v>23612.14</v>
      </c>
      <c r="L62" s="12" t="s">
        <v>132</v>
      </c>
      <c r="M62" s="9" t="s">
        <v>133</v>
      </c>
      <c r="N62" s="21">
        <v>41031.48</v>
      </c>
      <c r="O62" s="22">
        <v>17875.57</v>
      </c>
      <c r="P62" s="23">
        <f>Table2[[#This Row],[Sum of Old TB]]-Table2[[#This Row],[Sum of New TB]]</f>
        <v>23155.91</v>
      </c>
    </row>
    <row r="63" customHeight="1" spans="2:16">
      <c r="B63" s="8" t="s">
        <v>144</v>
      </c>
      <c r="C63" s="9" t="s">
        <v>145</v>
      </c>
      <c r="D63" s="1">
        <v>237</v>
      </c>
      <c r="E63" s="9"/>
      <c r="G63" s="1" t="s">
        <v>128</v>
      </c>
      <c r="H63" s="1" t="s">
        <v>129</v>
      </c>
      <c r="I63" s="2">
        <v>52823.06</v>
      </c>
      <c r="J63" s="2">
        <v>52823.06</v>
      </c>
      <c r="L63" s="12" t="s">
        <v>134</v>
      </c>
      <c r="M63" s="9" t="s">
        <v>135</v>
      </c>
      <c r="N63" s="21">
        <v>40.09</v>
      </c>
      <c r="O63" s="22">
        <v>40.09</v>
      </c>
      <c r="P63" s="23">
        <f>Table2[[#This Row],[Sum of Old TB]]-Table2[[#This Row],[Sum of New TB]]</f>
        <v>0</v>
      </c>
    </row>
    <row r="64" customHeight="1" spans="2:16">
      <c r="B64" s="8" t="s">
        <v>146</v>
      </c>
      <c r="C64" s="9" t="s">
        <v>147</v>
      </c>
      <c r="D64" s="1">
        <v>26770.35</v>
      </c>
      <c r="E64" s="9"/>
      <c r="G64" s="1" t="s">
        <v>130</v>
      </c>
      <c r="H64" s="1" t="s">
        <v>131</v>
      </c>
      <c r="I64" s="2">
        <v>36453.12</v>
      </c>
      <c r="J64" s="2">
        <v>26658.12</v>
      </c>
      <c r="L64" s="12" t="s">
        <v>136</v>
      </c>
      <c r="M64" s="9" t="s">
        <v>137</v>
      </c>
      <c r="N64" s="21">
        <v>8152.69</v>
      </c>
      <c r="O64" s="22">
        <v>8152.69</v>
      </c>
      <c r="P64" s="23">
        <f>Table2[[#This Row],[Sum of Old TB]]-Table2[[#This Row],[Sum of New TB]]</f>
        <v>0</v>
      </c>
    </row>
    <row r="65" customHeight="1" spans="2:16">
      <c r="B65" s="8" t="s">
        <v>148</v>
      </c>
      <c r="C65" s="9" t="s">
        <v>149</v>
      </c>
      <c r="D65" s="1">
        <v>1151.84</v>
      </c>
      <c r="E65" s="9"/>
      <c r="G65" s="1" t="s">
        <v>132</v>
      </c>
      <c r="H65" s="1" t="s">
        <v>133</v>
      </c>
      <c r="I65" s="2">
        <v>41031.48</v>
      </c>
      <c r="J65" s="2">
        <v>17875.57</v>
      </c>
      <c r="L65" s="12" t="s">
        <v>138</v>
      </c>
      <c r="M65" s="9" t="s">
        <v>139</v>
      </c>
      <c r="N65" s="21">
        <v>64.99</v>
      </c>
      <c r="O65" s="22">
        <v>64.99</v>
      </c>
      <c r="P65" s="23">
        <f>Table2[[#This Row],[Sum of Old TB]]-Table2[[#This Row],[Sum of New TB]]</f>
        <v>0</v>
      </c>
    </row>
    <row r="66" customHeight="1" spans="2:16">
      <c r="B66" s="8" t="s">
        <v>150</v>
      </c>
      <c r="C66" s="9" t="s">
        <v>151</v>
      </c>
      <c r="D66" s="1">
        <v>75.55</v>
      </c>
      <c r="E66" s="9"/>
      <c r="G66" s="1" t="s">
        <v>134</v>
      </c>
      <c r="H66" s="1" t="s">
        <v>135</v>
      </c>
      <c r="I66" s="2">
        <v>40.09</v>
      </c>
      <c r="J66" s="2">
        <v>40.09</v>
      </c>
      <c r="L66" s="12" t="s">
        <v>140</v>
      </c>
      <c r="M66" s="9" t="s">
        <v>141</v>
      </c>
      <c r="N66" s="21">
        <v>351.53</v>
      </c>
      <c r="O66" s="22">
        <v>351.53</v>
      </c>
      <c r="P66" s="23">
        <f>Table2[[#This Row],[Sum of Old TB]]-Table2[[#This Row],[Sum of New TB]]</f>
        <v>0</v>
      </c>
    </row>
    <row r="67" customHeight="1" spans="2:16">
      <c r="B67" s="8" t="s">
        <v>152</v>
      </c>
      <c r="C67" s="9" t="s">
        <v>153</v>
      </c>
      <c r="D67" s="1">
        <v>9777.82</v>
      </c>
      <c r="E67" s="9"/>
      <c r="G67" s="1" t="s">
        <v>136</v>
      </c>
      <c r="H67" s="1" t="s">
        <v>137</v>
      </c>
      <c r="I67" s="2">
        <v>8152.69</v>
      </c>
      <c r="J67" s="2">
        <v>8152.69</v>
      </c>
      <c r="L67" s="12" t="s">
        <v>142</v>
      </c>
      <c r="M67" s="9" t="s">
        <v>143</v>
      </c>
      <c r="N67" s="21">
        <v>13616.17</v>
      </c>
      <c r="O67" s="22">
        <v>13616.17</v>
      </c>
      <c r="P67" s="23">
        <f>Table2[[#This Row],[Sum of Old TB]]-Table2[[#This Row],[Sum of New TB]]</f>
        <v>0</v>
      </c>
    </row>
    <row r="68" customHeight="1" spans="2:16">
      <c r="B68" s="8" t="s">
        <v>154</v>
      </c>
      <c r="C68" s="9" t="s">
        <v>155</v>
      </c>
      <c r="D68" s="1">
        <v>124230.67</v>
      </c>
      <c r="E68" s="9"/>
      <c r="G68" s="1" t="s">
        <v>138</v>
      </c>
      <c r="H68" s="1" t="s">
        <v>139</v>
      </c>
      <c r="I68" s="2">
        <v>64.99</v>
      </c>
      <c r="J68" s="2">
        <v>64.99</v>
      </c>
      <c r="L68" s="12" t="s">
        <v>144</v>
      </c>
      <c r="M68" s="9" t="s">
        <v>145</v>
      </c>
      <c r="N68" s="21">
        <v>237</v>
      </c>
      <c r="O68" s="22">
        <v>237</v>
      </c>
      <c r="P68" s="23">
        <f>Table2[[#This Row],[Sum of Old TB]]-Table2[[#This Row],[Sum of New TB]]</f>
        <v>0</v>
      </c>
    </row>
    <row r="69" customHeight="1" spans="2:16">
      <c r="B69" s="8" t="s">
        <v>156</v>
      </c>
      <c r="C69" s="9" t="s">
        <v>157</v>
      </c>
      <c r="D69" s="1">
        <v>179</v>
      </c>
      <c r="E69" s="9"/>
      <c r="G69" s="1" t="s">
        <v>140</v>
      </c>
      <c r="H69" s="1" t="s">
        <v>141</v>
      </c>
      <c r="I69" s="2">
        <v>351.53</v>
      </c>
      <c r="J69" s="2">
        <v>351.53</v>
      </c>
      <c r="L69" s="12" t="s">
        <v>146</v>
      </c>
      <c r="M69" s="9" t="s">
        <v>147</v>
      </c>
      <c r="N69" s="21">
        <v>26770.35</v>
      </c>
      <c r="O69" s="22">
        <v>26770.35</v>
      </c>
      <c r="P69" s="23">
        <f>Table2[[#This Row],[Sum of Old TB]]-Table2[[#This Row],[Sum of New TB]]</f>
        <v>0</v>
      </c>
    </row>
    <row r="70" customHeight="1" spans="2:16">
      <c r="B70" s="8" t="s">
        <v>158</v>
      </c>
      <c r="C70" s="9" t="s">
        <v>159</v>
      </c>
      <c r="D70" s="1">
        <v>48991.32</v>
      </c>
      <c r="E70" s="9"/>
      <c r="G70" s="1" t="s">
        <v>142</v>
      </c>
      <c r="H70" s="1" t="s">
        <v>143</v>
      </c>
      <c r="I70" s="2">
        <v>13616.17</v>
      </c>
      <c r="J70" s="2">
        <v>13616.17</v>
      </c>
      <c r="L70" s="12" t="s">
        <v>148</v>
      </c>
      <c r="M70" s="9" t="s">
        <v>149</v>
      </c>
      <c r="N70" s="21">
        <v>1151.84</v>
      </c>
      <c r="O70" s="22">
        <v>1151.84</v>
      </c>
      <c r="P70" s="23">
        <f>Table2[[#This Row],[Sum of Old TB]]-Table2[[#This Row],[Sum of New TB]]</f>
        <v>0</v>
      </c>
    </row>
    <row r="71" customHeight="1" spans="2:16">
      <c r="B71" s="8" t="s">
        <v>160</v>
      </c>
      <c r="C71" s="9" t="s">
        <v>161</v>
      </c>
      <c r="D71" s="1">
        <v>70560.2</v>
      </c>
      <c r="E71" s="9"/>
      <c r="G71" s="1" t="s">
        <v>144</v>
      </c>
      <c r="H71" s="1" t="s">
        <v>145</v>
      </c>
      <c r="I71" s="2">
        <v>237</v>
      </c>
      <c r="J71" s="2">
        <v>237</v>
      </c>
      <c r="L71" s="12" t="s">
        <v>150</v>
      </c>
      <c r="M71" s="9" t="s">
        <v>151</v>
      </c>
      <c r="N71" s="21">
        <v>75.55</v>
      </c>
      <c r="O71" s="22">
        <v>75.55</v>
      </c>
      <c r="P71" s="23">
        <f>Table2[[#This Row],[Sum of Old TB]]-Table2[[#This Row],[Sum of New TB]]</f>
        <v>0</v>
      </c>
    </row>
    <row r="72" customHeight="1" spans="2:16">
      <c r="B72" s="8" t="s">
        <v>162</v>
      </c>
      <c r="C72" s="9" t="s">
        <v>163</v>
      </c>
      <c r="D72" s="1">
        <v>1560</v>
      </c>
      <c r="E72" s="9"/>
      <c r="G72" s="1" t="s">
        <v>146</v>
      </c>
      <c r="H72" s="1" t="s">
        <v>147</v>
      </c>
      <c r="I72" s="2">
        <v>26770.35</v>
      </c>
      <c r="J72" s="2">
        <v>26770.35</v>
      </c>
      <c r="L72" s="12" t="s">
        <v>152</v>
      </c>
      <c r="M72" s="9" t="s">
        <v>153</v>
      </c>
      <c r="N72" s="21">
        <v>9777.82</v>
      </c>
      <c r="O72" s="22">
        <v>9777.82</v>
      </c>
      <c r="P72" s="23">
        <f>Table2[[#This Row],[Sum of Old TB]]-Table2[[#This Row],[Sum of New TB]]</f>
        <v>0</v>
      </c>
    </row>
    <row r="73" customHeight="1" spans="2:16">
      <c r="B73" s="8" t="s">
        <v>164</v>
      </c>
      <c r="C73" s="9" t="s">
        <v>165</v>
      </c>
      <c r="D73" s="1">
        <v>8413.93</v>
      </c>
      <c r="E73" s="9"/>
      <c r="G73" s="1" t="s">
        <v>148</v>
      </c>
      <c r="H73" s="1" t="s">
        <v>149</v>
      </c>
      <c r="I73" s="2">
        <v>1151.84</v>
      </c>
      <c r="J73" s="2">
        <v>1151.84</v>
      </c>
      <c r="L73" s="12" t="s">
        <v>154</v>
      </c>
      <c r="M73" s="9" t="s">
        <v>155</v>
      </c>
      <c r="N73" s="21">
        <v>124230.67</v>
      </c>
      <c r="O73" s="22">
        <v>209331.48</v>
      </c>
      <c r="P73" s="23">
        <f>Table2[[#This Row],[Sum of Old TB]]-Table2[[#This Row],[Sum of New TB]]</f>
        <v>-85100.81</v>
      </c>
    </row>
    <row r="74" customHeight="1" spans="2:16">
      <c r="B74" s="8" t="s">
        <v>166</v>
      </c>
      <c r="C74" s="9" t="s">
        <v>167</v>
      </c>
      <c r="D74" s="1">
        <v>3678.62</v>
      </c>
      <c r="E74" s="9"/>
      <c r="G74" s="1" t="s">
        <v>150</v>
      </c>
      <c r="H74" s="1" t="s">
        <v>151</v>
      </c>
      <c r="I74" s="2">
        <v>75.55</v>
      </c>
      <c r="J74" s="2">
        <v>75.55</v>
      </c>
      <c r="L74" s="12" t="s">
        <v>156</v>
      </c>
      <c r="M74" s="9" t="s">
        <v>157</v>
      </c>
      <c r="N74" s="21">
        <v>179</v>
      </c>
      <c r="O74" s="22">
        <v>179</v>
      </c>
      <c r="P74" s="23">
        <f>Table2[[#This Row],[Sum of Old TB]]-Table2[[#This Row],[Sum of New TB]]</f>
        <v>0</v>
      </c>
    </row>
    <row r="75" customHeight="1" spans="2:16">
      <c r="B75" s="8" t="s">
        <v>168</v>
      </c>
      <c r="C75" s="9" t="s">
        <v>169</v>
      </c>
      <c r="D75" s="1">
        <v>600</v>
      </c>
      <c r="E75" s="9"/>
      <c r="G75" s="1" t="s">
        <v>152</v>
      </c>
      <c r="H75" s="1" t="s">
        <v>153</v>
      </c>
      <c r="I75" s="2">
        <v>9777.82</v>
      </c>
      <c r="J75" s="2">
        <v>9777.82</v>
      </c>
      <c r="L75" s="12" t="s">
        <v>158</v>
      </c>
      <c r="M75" s="9" t="s">
        <v>159</v>
      </c>
      <c r="N75" s="21">
        <v>48991.32</v>
      </c>
      <c r="O75" s="22">
        <v>259414.35</v>
      </c>
      <c r="P75" s="23">
        <f>Table2[[#This Row],[Sum of Old TB]]-Table2[[#This Row],[Sum of New TB]]</f>
        <v>-210423.03</v>
      </c>
    </row>
    <row r="76" customHeight="1" spans="2:16">
      <c r="B76" s="8" t="s">
        <v>170</v>
      </c>
      <c r="C76" s="9" t="s">
        <v>171</v>
      </c>
      <c r="D76" s="1">
        <v>1229.8</v>
      </c>
      <c r="E76" s="9"/>
      <c r="G76" s="1" t="s">
        <v>154</v>
      </c>
      <c r="H76" s="1" t="s">
        <v>155</v>
      </c>
      <c r="I76" s="2">
        <v>124230.67</v>
      </c>
      <c r="J76" s="2">
        <v>209331.48</v>
      </c>
      <c r="L76" s="12" t="s">
        <v>172</v>
      </c>
      <c r="M76" s="9" t="s">
        <v>173</v>
      </c>
      <c r="N76" s="21"/>
      <c r="O76" s="22">
        <v>1676048.59</v>
      </c>
      <c r="P76" s="23">
        <f>Table2[[#This Row],[Sum of Old TB]]-Table2[[#This Row],[Sum of New TB]]</f>
        <v>-1676048.59</v>
      </c>
    </row>
    <row r="77" customHeight="1" spans="2:16">
      <c r="B77" s="8" t="s">
        <v>174</v>
      </c>
      <c r="C77" s="9" t="s">
        <v>175</v>
      </c>
      <c r="D77" s="1">
        <v>78677.23</v>
      </c>
      <c r="E77" s="9"/>
      <c r="G77" s="1" t="s">
        <v>156</v>
      </c>
      <c r="H77" s="1" t="s">
        <v>157</v>
      </c>
      <c r="I77" s="2">
        <v>179</v>
      </c>
      <c r="J77" s="2">
        <v>179</v>
      </c>
      <c r="L77" s="12" t="s">
        <v>160</v>
      </c>
      <c r="M77" s="9" t="s">
        <v>161</v>
      </c>
      <c r="N77" s="21">
        <v>70560.2</v>
      </c>
      <c r="O77" s="22">
        <v>159358.45</v>
      </c>
      <c r="P77" s="23">
        <f>Table2[[#This Row],[Sum of Old TB]]-Table2[[#This Row],[Sum of New TB]]</f>
        <v>-88798.25</v>
      </c>
    </row>
    <row r="78" customHeight="1" spans="2:16">
      <c r="B78" s="8" t="s">
        <v>176</v>
      </c>
      <c r="C78" s="9" t="s">
        <v>177</v>
      </c>
      <c r="D78" s="1">
        <v>175</v>
      </c>
      <c r="E78" s="9"/>
      <c r="G78" s="1" t="s">
        <v>158</v>
      </c>
      <c r="H78" s="1" t="s">
        <v>159</v>
      </c>
      <c r="I78" s="2">
        <v>48991.32</v>
      </c>
      <c r="J78" s="2">
        <v>259414.35</v>
      </c>
      <c r="L78" s="12" t="s">
        <v>162</v>
      </c>
      <c r="M78" s="9" t="s">
        <v>163</v>
      </c>
      <c r="N78" s="21">
        <v>1560</v>
      </c>
      <c r="O78" s="22">
        <v>1560</v>
      </c>
      <c r="P78" s="23">
        <f>Table2[[#This Row],[Sum of Old TB]]-Table2[[#This Row],[Sum of New TB]]</f>
        <v>0</v>
      </c>
    </row>
    <row r="79" customHeight="1" spans="2:16">
      <c r="B79" s="8" t="s">
        <v>178</v>
      </c>
      <c r="C79" s="9" t="s">
        <v>179</v>
      </c>
      <c r="D79" s="1">
        <v>35377.34</v>
      </c>
      <c r="E79" s="9"/>
      <c r="G79" s="1" t="s">
        <v>172</v>
      </c>
      <c r="H79" s="1" t="s">
        <v>173</v>
      </c>
      <c r="J79" s="2">
        <v>1676048.59</v>
      </c>
      <c r="L79" s="12" t="s">
        <v>164</v>
      </c>
      <c r="M79" s="9" t="s">
        <v>165</v>
      </c>
      <c r="N79" s="21">
        <v>8413.93</v>
      </c>
      <c r="O79" s="22">
        <v>8413.93</v>
      </c>
      <c r="P79" s="23">
        <f>Table2[[#This Row],[Sum of Old TB]]-Table2[[#This Row],[Sum of New TB]]</f>
        <v>0</v>
      </c>
    </row>
    <row r="80" customHeight="1" spans="2:16">
      <c r="B80" s="8" t="s">
        <v>180</v>
      </c>
      <c r="C80" s="9" t="s">
        <v>181</v>
      </c>
      <c r="D80" s="1">
        <v>1197.03</v>
      </c>
      <c r="E80" s="9"/>
      <c r="G80" s="1" t="s">
        <v>160</v>
      </c>
      <c r="H80" s="1" t="s">
        <v>161</v>
      </c>
      <c r="I80" s="2">
        <v>70560.2</v>
      </c>
      <c r="J80" s="2">
        <v>159358.45</v>
      </c>
      <c r="L80" s="12" t="s">
        <v>166</v>
      </c>
      <c r="M80" s="9" t="s">
        <v>167</v>
      </c>
      <c r="N80" s="21">
        <v>3678.62</v>
      </c>
      <c r="O80" s="22">
        <v>3678.62</v>
      </c>
      <c r="P80" s="23">
        <f>Table2[[#This Row],[Sum of Old TB]]-Table2[[#This Row],[Sum of New TB]]</f>
        <v>0</v>
      </c>
    </row>
    <row r="81" customHeight="1" spans="2:16">
      <c r="B81" s="8" t="s">
        <v>182</v>
      </c>
      <c r="C81" s="9" t="s">
        <v>183</v>
      </c>
      <c r="D81" s="1">
        <v>14070.18</v>
      </c>
      <c r="E81" s="9"/>
      <c r="G81" s="1" t="s">
        <v>162</v>
      </c>
      <c r="H81" s="1" t="s">
        <v>163</v>
      </c>
      <c r="I81" s="2">
        <v>1560</v>
      </c>
      <c r="J81" s="2">
        <v>1560</v>
      </c>
      <c r="L81" s="12" t="s">
        <v>168</v>
      </c>
      <c r="M81" s="9" t="s">
        <v>169</v>
      </c>
      <c r="N81" s="21">
        <v>600</v>
      </c>
      <c r="O81" s="22">
        <v>600</v>
      </c>
      <c r="P81" s="23">
        <f>Table2[[#This Row],[Sum of Old TB]]-Table2[[#This Row],[Sum of New TB]]</f>
        <v>0</v>
      </c>
    </row>
    <row r="82" customHeight="1" spans="2:16">
      <c r="B82" s="8" t="s">
        <v>184</v>
      </c>
      <c r="C82" s="9" t="s">
        <v>185</v>
      </c>
      <c r="D82" s="1">
        <v>17500.8</v>
      </c>
      <c r="E82" s="9"/>
      <c r="G82" s="1" t="s">
        <v>164</v>
      </c>
      <c r="H82" s="1" t="s">
        <v>165</v>
      </c>
      <c r="I82" s="2">
        <v>8413.93</v>
      </c>
      <c r="J82" s="2">
        <v>8413.93</v>
      </c>
      <c r="L82" s="12" t="s">
        <v>170</v>
      </c>
      <c r="M82" s="9" t="s">
        <v>171</v>
      </c>
      <c r="N82" s="21">
        <v>1229.8</v>
      </c>
      <c r="O82" s="22">
        <v>1229.8</v>
      </c>
      <c r="P82" s="23">
        <f>Table2[[#This Row],[Sum of Old TB]]-Table2[[#This Row],[Sum of New TB]]</f>
        <v>0</v>
      </c>
    </row>
    <row r="83" customHeight="1" spans="2:16">
      <c r="B83" s="8" t="s">
        <v>186</v>
      </c>
      <c r="C83" s="9" t="s">
        <v>187</v>
      </c>
      <c r="D83" s="1">
        <v>18711.97</v>
      </c>
      <c r="E83" s="9"/>
      <c r="G83" s="1" t="s">
        <v>166</v>
      </c>
      <c r="H83" s="1" t="s">
        <v>167</v>
      </c>
      <c r="I83" s="2">
        <v>3678.62</v>
      </c>
      <c r="J83" s="2">
        <v>3678.62</v>
      </c>
      <c r="L83" s="12" t="s">
        <v>174</v>
      </c>
      <c r="M83" s="9" t="s">
        <v>175</v>
      </c>
      <c r="N83" s="21">
        <v>78677.23</v>
      </c>
      <c r="O83" s="22">
        <v>78677.23</v>
      </c>
      <c r="P83" s="23">
        <f>Table2[[#This Row],[Sum of Old TB]]-Table2[[#This Row],[Sum of New TB]]</f>
        <v>0</v>
      </c>
    </row>
    <row r="84" customHeight="1" spans="2:16">
      <c r="B84" s="8" t="s">
        <v>188</v>
      </c>
      <c r="C84" s="9" t="s">
        <v>189</v>
      </c>
      <c r="D84" s="1">
        <v>12673.41</v>
      </c>
      <c r="E84" s="9"/>
      <c r="G84" s="1" t="s">
        <v>168</v>
      </c>
      <c r="H84" s="1" t="s">
        <v>169</v>
      </c>
      <c r="I84" s="2">
        <v>600</v>
      </c>
      <c r="J84" s="2">
        <v>600</v>
      </c>
      <c r="L84" s="12" t="s">
        <v>176</v>
      </c>
      <c r="M84" s="9" t="s">
        <v>177</v>
      </c>
      <c r="N84" s="21">
        <v>175</v>
      </c>
      <c r="O84" s="22">
        <v>175</v>
      </c>
      <c r="P84" s="23">
        <f>Table2[[#This Row],[Sum of Old TB]]-Table2[[#This Row],[Sum of New TB]]</f>
        <v>0</v>
      </c>
    </row>
    <row r="85" customHeight="1" spans="2:16">
      <c r="B85" s="8" t="s">
        <v>190</v>
      </c>
      <c r="C85" s="9" t="s">
        <v>191</v>
      </c>
      <c r="D85" s="1">
        <v>8270.88</v>
      </c>
      <c r="E85" s="9"/>
      <c r="G85" s="1" t="s">
        <v>170</v>
      </c>
      <c r="H85" s="1" t="s">
        <v>171</v>
      </c>
      <c r="I85" s="2">
        <v>1229.8</v>
      </c>
      <c r="J85" s="2">
        <v>1229.8</v>
      </c>
      <c r="L85" s="12" t="s">
        <v>178</v>
      </c>
      <c r="M85" s="9" t="s">
        <v>179</v>
      </c>
      <c r="N85" s="21">
        <v>35377.34</v>
      </c>
      <c r="O85" s="22">
        <v>35377.34</v>
      </c>
      <c r="P85" s="23">
        <f>Table2[[#This Row],[Sum of Old TB]]-Table2[[#This Row],[Sum of New TB]]</f>
        <v>0</v>
      </c>
    </row>
    <row r="86" customHeight="1" spans="2:16">
      <c r="B86" s="8" t="s">
        <v>192</v>
      </c>
      <c r="C86" s="9" t="s">
        <v>193</v>
      </c>
      <c r="D86" s="1">
        <v>11384.25</v>
      </c>
      <c r="E86" s="9"/>
      <c r="G86" s="1" t="s">
        <v>174</v>
      </c>
      <c r="H86" s="1" t="s">
        <v>175</v>
      </c>
      <c r="I86" s="2">
        <v>78677.23</v>
      </c>
      <c r="J86" s="2">
        <v>78677.23</v>
      </c>
      <c r="L86" s="12" t="s">
        <v>180</v>
      </c>
      <c r="M86" s="9" t="s">
        <v>181</v>
      </c>
      <c r="N86" s="21">
        <v>1197.03</v>
      </c>
      <c r="O86" s="22">
        <v>1197.03</v>
      </c>
      <c r="P86" s="23">
        <f>Table2[[#This Row],[Sum of Old TB]]-Table2[[#This Row],[Sum of New TB]]</f>
        <v>0</v>
      </c>
    </row>
    <row r="87" customHeight="1" spans="2:16">
      <c r="B87" s="8" t="s">
        <v>194</v>
      </c>
      <c r="C87" s="9" t="s">
        <v>195</v>
      </c>
      <c r="D87" s="1">
        <v>6877.49</v>
      </c>
      <c r="E87" s="9"/>
      <c r="G87" s="1" t="s">
        <v>176</v>
      </c>
      <c r="H87" s="1" t="s">
        <v>177</v>
      </c>
      <c r="I87" s="2">
        <v>175</v>
      </c>
      <c r="J87" s="2">
        <v>175</v>
      </c>
      <c r="L87" s="12" t="s">
        <v>182</v>
      </c>
      <c r="M87" s="9" t="s">
        <v>183</v>
      </c>
      <c r="N87" s="21">
        <v>14070.18</v>
      </c>
      <c r="O87" s="22">
        <v>14070.18</v>
      </c>
      <c r="P87" s="23">
        <f>Table2[[#This Row],[Sum of Old TB]]-Table2[[#This Row],[Sum of New TB]]</f>
        <v>0</v>
      </c>
    </row>
    <row r="88" customHeight="1" spans="2:16">
      <c r="B88" s="8" t="s">
        <v>196</v>
      </c>
      <c r="C88" s="9" t="s">
        <v>197</v>
      </c>
      <c r="D88" s="1">
        <v>50491.63</v>
      </c>
      <c r="E88" s="9"/>
      <c r="G88" s="1" t="s">
        <v>178</v>
      </c>
      <c r="H88" s="1" t="s">
        <v>179</v>
      </c>
      <c r="I88" s="2">
        <v>35377.34</v>
      </c>
      <c r="J88" s="2">
        <v>35377.34</v>
      </c>
      <c r="L88" s="12" t="s">
        <v>184</v>
      </c>
      <c r="M88" s="9" t="s">
        <v>185</v>
      </c>
      <c r="N88" s="21">
        <v>17500.8</v>
      </c>
      <c r="O88" s="22">
        <v>17500.8</v>
      </c>
      <c r="P88" s="23">
        <f>Table2[[#This Row],[Sum of Old TB]]-Table2[[#This Row],[Sum of New TB]]</f>
        <v>0</v>
      </c>
    </row>
    <row r="89" customHeight="1" spans="2:16">
      <c r="B89" s="8" t="s">
        <v>198</v>
      </c>
      <c r="C89" s="9" t="s">
        <v>105</v>
      </c>
      <c r="D89" s="1">
        <v>1598.06</v>
      </c>
      <c r="E89" s="9"/>
      <c r="G89" s="1" t="s">
        <v>180</v>
      </c>
      <c r="H89" s="1" t="s">
        <v>181</v>
      </c>
      <c r="I89" s="2">
        <v>1197.03</v>
      </c>
      <c r="J89" s="2">
        <v>1197.03</v>
      </c>
      <c r="L89" s="12" t="s">
        <v>186</v>
      </c>
      <c r="M89" s="9" t="s">
        <v>187</v>
      </c>
      <c r="N89" s="21">
        <v>18711.97</v>
      </c>
      <c r="O89" s="22">
        <v>18711.97</v>
      </c>
      <c r="P89" s="23">
        <f>Table2[[#This Row],[Sum of Old TB]]-Table2[[#This Row],[Sum of New TB]]</f>
        <v>0</v>
      </c>
    </row>
    <row r="90" customHeight="1" spans="2:16">
      <c r="B90" s="8" t="s">
        <v>199</v>
      </c>
      <c r="C90" s="9" t="s">
        <v>200</v>
      </c>
      <c r="D90" s="1">
        <v>12600</v>
      </c>
      <c r="E90" s="9"/>
      <c r="G90" s="1" t="s">
        <v>182</v>
      </c>
      <c r="H90" s="1" t="s">
        <v>183</v>
      </c>
      <c r="I90" s="2">
        <v>14070.18</v>
      </c>
      <c r="J90" s="2">
        <v>14070.18</v>
      </c>
      <c r="L90" s="12" t="s">
        <v>188</v>
      </c>
      <c r="M90" s="9" t="s">
        <v>189</v>
      </c>
      <c r="N90" s="21">
        <v>12673.41</v>
      </c>
      <c r="O90" s="22">
        <v>12673.41</v>
      </c>
      <c r="P90" s="23">
        <f>Table2[[#This Row],[Sum of Old TB]]-Table2[[#This Row],[Sum of New TB]]</f>
        <v>0</v>
      </c>
    </row>
    <row r="91" customHeight="1" spans="2:16">
      <c r="B91" s="8" t="s">
        <v>201</v>
      </c>
      <c r="C91" s="9" t="s">
        <v>202</v>
      </c>
      <c r="D91" s="1">
        <v>17773.97</v>
      </c>
      <c r="E91" s="9"/>
      <c r="G91" s="1" t="s">
        <v>184</v>
      </c>
      <c r="H91" s="1" t="s">
        <v>185</v>
      </c>
      <c r="I91" s="2">
        <v>17500.8</v>
      </c>
      <c r="J91" s="2">
        <v>17500.8</v>
      </c>
      <c r="L91" s="12" t="s">
        <v>190</v>
      </c>
      <c r="M91" s="9" t="s">
        <v>191</v>
      </c>
      <c r="N91" s="21">
        <v>8270.88</v>
      </c>
      <c r="O91" s="22">
        <v>8270.88</v>
      </c>
      <c r="P91" s="23">
        <f>Table2[[#This Row],[Sum of Old TB]]-Table2[[#This Row],[Sum of New TB]]</f>
        <v>0</v>
      </c>
    </row>
    <row r="92" customHeight="1" spans="2:16">
      <c r="B92" s="8" t="s">
        <v>203</v>
      </c>
      <c r="C92" s="9" t="s">
        <v>204</v>
      </c>
      <c r="D92" s="1">
        <v>6121.79</v>
      </c>
      <c r="E92" s="9"/>
      <c r="G92" s="1" t="s">
        <v>186</v>
      </c>
      <c r="H92" s="1" t="s">
        <v>187</v>
      </c>
      <c r="I92" s="2">
        <v>18711.97</v>
      </c>
      <c r="J92" s="2">
        <v>18711.97</v>
      </c>
      <c r="L92" s="12" t="s">
        <v>192</v>
      </c>
      <c r="M92" s="9" t="s">
        <v>193</v>
      </c>
      <c r="N92" s="21">
        <v>11384.25</v>
      </c>
      <c r="O92" s="22">
        <v>11384.25</v>
      </c>
      <c r="P92" s="23">
        <f>Table2[[#This Row],[Sum of Old TB]]-Table2[[#This Row],[Sum of New TB]]</f>
        <v>0</v>
      </c>
    </row>
    <row r="93" customHeight="1" spans="2:16">
      <c r="B93" s="8" t="s">
        <v>205</v>
      </c>
      <c r="C93" s="9" t="s">
        <v>206</v>
      </c>
      <c r="D93" s="1">
        <v>54579.67</v>
      </c>
      <c r="E93" s="9"/>
      <c r="G93" s="1" t="s">
        <v>188</v>
      </c>
      <c r="H93" s="1" t="s">
        <v>189</v>
      </c>
      <c r="I93" s="2">
        <v>12673.41</v>
      </c>
      <c r="J93" s="2">
        <v>12673.41</v>
      </c>
      <c r="L93" s="12" t="s">
        <v>194</v>
      </c>
      <c r="M93" s="9" t="s">
        <v>195</v>
      </c>
      <c r="N93" s="21">
        <v>6877.49</v>
      </c>
      <c r="O93" s="22">
        <v>6877.49</v>
      </c>
      <c r="P93" s="23">
        <f>Table2[[#This Row],[Sum of Old TB]]-Table2[[#This Row],[Sum of New TB]]</f>
        <v>0</v>
      </c>
    </row>
    <row r="94" customHeight="1" spans="2:16">
      <c r="B94" s="8" t="s">
        <v>207</v>
      </c>
      <c r="C94" s="9" t="s">
        <v>208</v>
      </c>
      <c r="D94" s="1">
        <v>200</v>
      </c>
      <c r="E94" s="9"/>
      <c r="G94" s="1" t="s">
        <v>190</v>
      </c>
      <c r="H94" s="1" t="s">
        <v>191</v>
      </c>
      <c r="I94" s="2">
        <v>8270.88</v>
      </c>
      <c r="J94" s="2">
        <v>8270.88</v>
      </c>
      <c r="L94" s="12" t="s">
        <v>196</v>
      </c>
      <c r="M94" s="9" t="s">
        <v>197</v>
      </c>
      <c r="N94" s="21">
        <v>50491.63</v>
      </c>
      <c r="O94" s="22">
        <v>50491.63</v>
      </c>
      <c r="P94" s="23">
        <f>Table2[[#This Row],[Sum of Old TB]]-Table2[[#This Row],[Sum of New TB]]</f>
        <v>0</v>
      </c>
    </row>
    <row r="95" customHeight="1" spans="2:16">
      <c r="B95" s="8" t="s">
        <v>209</v>
      </c>
      <c r="C95" s="9" t="s">
        <v>210</v>
      </c>
      <c r="D95" s="1">
        <v>565576.1</v>
      </c>
      <c r="E95" s="9"/>
      <c r="G95" s="1" t="s">
        <v>192</v>
      </c>
      <c r="H95" s="1" t="s">
        <v>193</v>
      </c>
      <c r="I95" s="2">
        <v>11384.25</v>
      </c>
      <c r="J95" s="2">
        <v>11384.25</v>
      </c>
      <c r="L95" s="12" t="s">
        <v>198</v>
      </c>
      <c r="M95" s="9" t="s">
        <v>105</v>
      </c>
      <c r="N95" s="21">
        <v>1598.06</v>
      </c>
      <c r="O95" s="22">
        <v>1598.06</v>
      </c>
      <c r="P95" s="23">
        <f>Table2[[#This Row],[Sum of Old TB]]-Table2[[#This Row],[Sum of New TB]]</f>
        <v>0</v>
      </c>
    </row>
    <row r="96" customHeight="1" spans="2:16">
      <c r="B96" s="8" t="s">
        <v>211</v>
      </c>
      <c r="C96" s="9" t="s">
        <v>212</v>
      </c>
      <c r="D96" s="1">
        <v>-633886.96</v>
      </c>
      <c r="E96" s="9"/>
      <c r="G96" s="1" t="s">
        <v>194</v>
      </c>
      <c r="H96" s="1" t="s">
        <v>195</v>
      </c>
      <c r="I96" s="2">
        <v>6877.49</v>
      </c>
      <c r="J96" s="2">
        <v>6877.49</v>
      </c>
      <c r="L96" s="12" t="s">
        <v>199</v>
      </c>
      <c r="M96" s="9" t="s">
        <v>200</v>
      </c>
      <c r="N96" s="21">
        <v>12600</v>
      </c>
      <c r="O96" s="22">
        <v>12600</v>
      </c>
      <c r="P96" s="23">
        <f>Table2[[#This Row],[Sum of Old TB]]-Table2[[#This Row],[Sum of New TB]]</f>
        <v>0</v>
      </c>
    </row>
    <row r="97" customHeight="1" spans="2:16">
      <c r="B97" s="8" t="s">
        <v>213</v>
      </c>
      <c r="C97" s="9" t="s">
        <v>214</v>
      </c>
      <c r="D97" s="1">
        <v>40000</v>
      </c>
      <c r="E97" s="9"/>
      <c r="G97" s="1" t="s">
        <v>196</v>
      </c>
      <c r="H97" s="1" t="s">
        <v>197</v>
      </c>
      <c r="I97" s="2">
        <v>50491.63</v>
      </c>
      <c r="J97" s="2">
        <v>50491.63</v>
      </c>
      <c r="L97" s="12" t="s">
        <v>201</v>
      </c>
      <c r="M97" s="9" t="s">
        <v>202</v>
      </c>
      <c r="N97" s="21">
        <v>17773.97</v>
      </c>
      <c r="O97" s="22">
        <v>17773.97</v>
      </c>
      <c r="P97" s="23">
        <f>Table2[[#This Row],[Sum of Old TB]]-Table2[[#This Row],[Sum of New TB]]</f>
        <v>0</v>
      </c>
    </row>
    <row r="98" customHeight="1" spans="2:16">
      <c r="B98" s="8" t="s">
        <v>215</v>
      </c>
      <c r="C98" s="9" t="s">
        <v>216</v>
      </c>
      <c r="D98" s="1">
        <v>331260.55</v>
      </c>
      <c r="E98" s="9"/>
      <c r="G98" s="1" t="s">
        <v>198</v>
      </c>
      <c r="H98" s="1" t="s">
        <v>105</v>
      </c>
      <c r="I98" s="2">
        <v>1598.06</v>
      </c>
      <c r="J98" s="2">
        <v>1598.06</v>
      </c>
      <c r="L98" s="12" t="s">
        <v>203</v>
      </c>
      <c r="M98" s="9" t="s">
        <v>204</v>
      </c>
      <c r="N98" s="21">
        <v>6121.79</v>
      </c>
      <c r="O98" s="22">
        <v>6121.79</v>
      </c>
      <c r="P98" s="23">
        <f>Table2[[#This Row],[Sum of Old TB]]-Table2[[#This Row],[Sum of New TB]]</f>
        <v>0</v>
      </c>
    </row>
    <row r="99" customHeight="1" spans="2:16">
      <c r="B99" s="8" t="s">
        <v>217</v>
      </c>
      <c r="C99" s="9" t="s">
        <v>218</v>
      </c>
      <c r="D99" s="1">
        <v>10963.58</v>
      </c>
      <c r="E99" s="9"/>
      <c r="G99" s="1" t="s">
        <v>199</v>
      </c>
      <c r="H99" s="1" t="s">
        <v>200</v>
      </c>
      <c r="I99" s="2">
        <v>12600</v>
      </c>
      <c r="J99" s="2">
        <v>12600</v>
      </c>
      <c r="L99" s="12" t="s">
        <v>205</v>
      </c>
      <c r="M99" s="9" t="s">
        <v>206</v>
      </c>
      <c r="N99" s="21">
        <v>54579.67</v>
      </c>
      <c r="O99" s="22">
        <v>54579.67</v>
      </c>
      <c r="P99" s="23">
        <f>Table2[[#This Row],[Sum of Old TB]]-Table2[[#This Row],[Sum of New TB]]</f>
        <v>0</v>
      </c>
    </row>
    <row r="100" customHeight="1" spans="2:16">
      <c r="B100" s="8" t="s">
        <v>219</v>
      </c>
      <c r="C100" s="9" t="s">
        <v>220</v>
      </c>
      <c r="D100" s="1">
        <v>626064.43</v>
      </c>
      <c r="E100" s="9"/>
      <c r="G100" s="1" t="s">
        <v>201</v>
      </c>
      <c r="H100" s="1" t="s">
        <v>202</v>
      </c>
      <c r="I100" s="2">
        <v>17773.97</v>
      </c>
      <c r="J100" s="2">
        <v>17773.97</v>
      </c>
      <c r="L100" s="12" t="s">
        <v>207</v>
      </c>
      <c r="M100" s="9" t="s">
        <v>208</v>
      </c>
      <c r="N100" s="21">
        <v>200</v>
      </c>
      <c r="O100" s="22">
        <v>200</v>
      </c>
      <c r="P100" s="23">
        <f>Table2[[#This Row],[Sum of Old TB]]-Table2[[#This Row],[Sum of New TB]]</f>
        <v>0</v>
      </c>
    </row>
    <row r="101" customHeight="1" spans="2:16">
      <c r="B101" s="8" t="s">
        <v>221</v>
      </c>
      <c r="C101" s="9" t="s">
        <v>222</v>
      </c>
      <c r="D101" s="1">
        <v>460.4</v>
      </c>
      <c r="E101" s="9"/>
      <c r="G101" s="1" t="s">
        <v>203</v>
      </c>
      <c r="H101" s="1" t="s">
        <v>204</v>
      </c>
      <c r="I101" s="2">
        <v>6121.79</v>
      </c>
      <c r="J101" s="2">
        <v>6121.79</v>
      </c>
      <c r="L101" s="12" t="s">
        <v>209</v>
      </c>
      <c r="M101" s="9" t="s">
        <v>210</v>
      </c>
      <c r="N101" s="21">
        <v>565576.1</v>
      </c>
      <c r="O101" s="22">
        <v>565576.1</v>
      </c>
      <c r="P101" s="23">
        <f>Table2[[#This Row],[Sum of Old TB]]-Table2[[#This Row],[Sum of New TB]]</f>
        <v>0</v>
      </c>
    </row>
    <row r="102" customHeight="1" spans="2:16">
      <c r="B102" s="8" t="s">
        <v>223</v>
      </c>
      <c r="C102" s="9" t="s">
        <v>224</v>
      </c>
      <c r="D102" s="1">
        <v>1557.89</v>
      </c>
      <c r="E102" s="9"/>
      <c r="G102" s="1" t="s">
        <v>205</v>
      </c>
      <c r="H102" s="1" t="s">
        <v>206</v>
      </c>
      <c r="I102" s="2">
        <v>54579.67</v>
      </c>
      <c r="J102" s="2">
        <v>54579.67</v>
      </c>
      <c r="L102" s="12" t="s">
        <v>211</v>
      </c>
      <c r="M102" s="9" t="s">
        <v>212</v>
      </c>
      <c r="N102" s="21">
        <v>-633886.96</v>
      </c>
      <c r="O102" s="22">
        <v>-633954.51</v>
      </c>
      <c r="P102" s="23">
        <f>Table2[[#This Row],[Sum of Old TB]]-Table2[[#This Row],[Sum of New TB]]</f>
        <v>67.5500000000466</v>
      </c>
    </row>
    <row r="103" customHeight="1" spans="2:16">
      <c r="B103" s="8" t="s">
        <v>225</v>
      </c>
      <c r="C103" s="9" t="s">
        <v>40</v>
      </c>
      <c r="D103" s="1">
        <v>197530.38</v>
      </c>
      <c r="E103" s="9"/>
      <c r="G103" s="1" t="s">
        <v>207</v>
      </c>
      <c r="H103" s="1" t="s">
        <v>208</v>
      </c>
      <c r="I103" s="2">
        <v>200</v>
      </c>
      <c r="J103" s="2">
        <v>200</v>
      </c>
      <c r="L103" s="12" t="s">
        <v>213</v>
      </c>
      <c r="M103" s="9" t="s">
        <v>214</v>
      </c>
      <c r="N103" s="21">
        <v>40000</v>
      </c>
      <c r="O103" s="22"/>
      <c r="P103" s="23">
        <f>Table2[[#This Row],[Sum of Old TB]]-Table2[[#This Row],[Sum of New TB]]</f>
        <v>40000</v>
      </c>
    </row>
    <row r="104" customHeight="1" spans="2:16">
      <c r="B104" s="8" t="s">
        <v>226</v>
      </c>
      <c r="C104" s="9" t="s">
        <v>42</v>
      </c>
      <c r="D104" s="1">
        <v>-9012.54</v>
      </c>
      <c r="E104" s="9"/>
      <c r="G104" s="1" t="s">
        <v>209</v>
      </c>
      <c r="H104" s="1" t="s">
        <v>210</v>
      </c>
      <c r="I104" s="2">
        <v>565576.1</v>
      </c>
      <c r="J104" s="2">
        <v>565576.1</v>
      </c>
      <c r="L104" s="12" t="s">
        <v>215</v>
      </c>
      <c r="M104" s="9" t="s">
        <v>216</v>
      </c>
      <c r="N104" s="21">
        <v>331260.55</v>
      </c>
      <c r="O104" s="22">
        <v>344188.47</v>
      </c>
      <c r="P104" s="23">
        <f>Table2[[#This Row],[Sum of Old TB]]-Table2[[#This Row],[Sum of New TB]]</f>
        <v>-12927.92</v>
      </c>
    </row>
    <row r="105" customHeight="1" spans="2:16">
      <c r="B105" s="8" t="s">
        <v>227</v>
      </c>
      <c r="C105" s="9" t="s">
        <v>228</v>
      </c>
      <c r="D105" s="1">
        <v>-188517.84</v>
      </c>
      <c r="E105" s="9"/>
      <c r="G105" s="1" t="s">
        <v>211</v>
      </c>
      <c r="H105" s="1" t="s">
        <v>212</v>
      </c>
      <c r="I105" s="2">
        <v>-633886.96</v>
      </c>
      <c r="J105" s="2">
        <v>-633954.51</v>
      </c>
      <c r="L105" s="12" t="s">
        <v>217</v>
      </c>
      <c r="M105" s="9" t="s">
        <v>218</v>
      </c>
      <c r="N105" s="21">
        <v>10963.58</v>
      </c>
      <c r="O105" s="22">
        <v>50963.58</v>
      </c>
      <c r="P105" s="23">
        <f>Table2[[#This Row],[Sum of Old TB]]-Table2[[#This Row],[Sum of New TB]]</f>
        <v>-40000</v>
      </c>
    </row>
    <row r="106" customHeight="1" spans="2:16">
      <c r="B106" s="8" t="s">
        <v>229</v>
      </c>
      <c r="C106" s="9" t="s">
        <v>69</v>
      </c>
      <c r="D106" s="1">
        <v>-605096.37</v>
      </c>
      <c r="E106" s="9"/>
      <c r="G106" s="1" t="s">
        <v>213</v>
      </c>
      <c r="H106" s="1" t="s">
        <v>214</v>
      </c>
      <c r="I106" s="2">
        <v>40000</v>
      </c>
      <c r="L106" s="12" t="s">
        <v>219</v>
      </c>
      <c r="M106" s="9" t="s">
        <v>220</v>
      </c>
      <c r="N106" s="21">
        <v>626064.43</v>
      </c>
      <c r="O106" s="22">
        <v>626064.43</v>
      </c>
      <c r="P106" s="23">
        <f>Table2[[#This Row],[Sum of Old TB]]-Table2[[#This Row],[Sum of New TB]]</f>
        <v>0</v>
      </c>
    </row>
    <row r="107" customHeight="1" spans="2:16">
      <c r="B107" s="8" t="s">
        <v>230</v>
      </c>
      <c r="C107" s="9" t="s">
        <v>107</v>
      </c>
      <c r="D107" s="1">
        <v>196248.84</v>
      </c>
      <c r="E107" s="9"/>
      <c r="G107" s="1" t="s">
        <v>215</v>
      </c>
      <c r="H107" s="1" t="s">
        <v>216</v>
      </c>
      <c r="I107" s="2">
        <v>331260.55</v>
      </c>
      <c r="J107" s="2">
        <v>344188.47</v>
      </c>
      <c r="L107" s="12" t="s">
        <v>221</v>
      </c>
      <c r="M107" s="9" t="s">
        <v>222</v>
      </c>
      <c r="N107" s="21">
        <v>460.4</v>
      </c>
      <c r="O107" s="22">
        <v>460.4</v>
      </c>
      <c r="P107" s="23">
        <f>Table2[[#This Row],[Sum of Old TB]]-Table2[[#This Row],[Sum of New TB]]</f>
        <v>0</v>
      </c>
    </row>
    <row r="108" customHeight="1" spans="2:16">
      <c r="B108" s="8" t="s">
        <v>231</v>
      </c>
      <c r="C108" s="9" t="s">
        <v>109</v>
      </c>
      <c r="D108" s="1">
        <v>17717.87</v>
      </c>
      <c r="E108" s="9"/>
      <c r="G108" s="1" t="s">
        <v>217</v>
      </c>
      <c r="H108" s="1" t="s">
        <v>218</v>
      </c>
      <c r="I108" s="2">
        <v>10963.58</v>
      </c>
      <c r="J108" s="2">
        <v>50963.58</v>
      </c>
      <c r="L108" s="12" t="s">
        <v>223</v>
      </c>
      <c r="M108" s="9" t="s">
        <v>224</v>
      </c>
      <c r="N108" s="21">
        <v>1557.89</v>
      </c>
      <c r="O108" s="22">
        <v>1557.89</v>
      </c>
      <c r="P108" s="23">
        <f>Table2[[#This Row],[Sum of Old TB]]-Table2[[#This Row],[Sum of New TB]]</f>
        <v>0</v>
      </c>
    </row>
    <row r="109" customHeight="1" spans="2:16">
      <c r="B109" s="8" t="s">
        <v>232</v>
      </c>
      <c r="C109" s="9" t="s">
        <v>111</v>
      </c>
      <c r="D109" s="1">
        <v>90646.82</v>
      </c>
      <c r="E109" s="9"/>
      <c r="G109" s="1" t="s">
        <v>219</v>
      </c>
      <c r="H109" s="1" t="s">
        <v>220</v>
      </c>
      <c r="I109" s="2">
        <v>626064.43</v>
      </c>
      <c r="J109" s="2">
        <v>626064.43</v>
      </c>
      <c r="L109" s="12" t="s">
        <v>233</v>
      </c>
      <c r="M109" s="9" t="s">
        <v>234</v>
      </c>
      <c r="N109" s="21"/>
      <c r="O109" s="22">
        <v>250000</v>
      </c>
      <c r="P109" s="23">
        <f>Table2[[#This Row],[Sum of Old TB]]-Table2[[#This Row],[Sum of New TB]]</f>
        <v>-250000</v>
      </c>
    </row>
    <row r="110" customHeight="1" spans="2:16">
      <c r="B110" s="8" t="s">
        <v>235</v>
      </c>
      <c r="C110" s="9" t="s">
        <v>113</v>
      </c>
      <c r="D110" s="1">
        <v>4500</v>
      </c>
      <c r="E110" s="9"/>
      <c r="G110" s="1" t="s">
        <v>221</v>
      </c>
      <c r="H110" s="1" t="s">
        <v>222</v>
      </c>
      <c r="I110" s="2">
        <v>460.4</v>
      </c>
      <c r="J110" s="2">
        <v>460.4</v>
      </c>
      <c r="L110" s="12" t="s">
        <v>225</v>
      </c>
      <c r="M110" s="9" t="s">
        <v>40</v>
      </c>
      <c r="N110" s="21">
        <v>197530.38</v>
      </c>
      <c r="O110" s="22">
        <v>197530.38</v>
      </c>
      <c r="P110" s="23">
        <f>Table2[[#This Row],[Sum of Old TB]]-Table2[[#This Row],[Sum of New TB]]</f>
        <v>0</v>
      </c>
    </row>
    <row r="111" customHeight="1" spans="2:16">
      <c r="B111" s="8" t="s">
        <v>236</v>
      </c>
      <c r="C111" s="9" t="s">
        <v>117</v>
      </c>
      <c r="D111" s="1">
        <v>40045.17</v>
      </c>
      <c r="E111" s="9"/>
      <c r="G111" s="1" t="s">
        <v>223</v>
      </c>
      <c r="H111" s="1" t="s">
        <v>224</v>
      </c>
      <c r="I111" s="2">
        <v>1557.89</v>
      </c>
      <c r="J111" s="2">
        <v>1557.89</v>
      </c>
      <c r="L111" s="12" t="s">
        <v>226</v>
      </c>
      <c r="M111" s="9" t="s">
        <v>42</v>
      </c>
      <c r="N111" s="21">
        <v>-9012.54</v>
      </c>
      <c r="O111" s="22">
        <v>-9012.54</v>
      </c>
      <c r="P111" s="23">
        <f>Table2[[#This Row],[Sum of Old TB]]-Table2[[#This Row],[Sum of New TB]]</f>
        <v>0</v>
      </c>
    </row>
    <row r="112" customHeight="1" spans="2:16">
      <c r="B112" s="8" t="s">
        <v>237</v>
      </c>
      <c r="C112" s="9" t="s">
        <v>121</v>
      </c>
      <c r="D112" s="1">
        <v>517.5</v>
      </c>
      <c r="E112" s="9"/>
      <c r="G112" s="1" t="s">
        <v>233</v>
      </c>
      <c r="H112" s="1" t="s">
        <v>234</v>
      </c>
      <c r="J112" s="2">
        <v>250000</v>
      </c>
      <c r="L112" s="12" t="s">
        <v>227</v>
      </c>
      <c r="M112" s="9" t="s">
        <v>228</v>
      </c>
      <c r="N112" s="21">
        <v>-188517.84</v>
      </c>
      <c r="O112" s="22">
        <v>-188517.84</v>
      </c>
      <c r="P112" s="23">
        <f>Table2[[#This Row],[Sum of Old TB]]-Table2[[#This Row],[Sum of New TB]]</f>
        <v>0</v>
      </c>
    </row>
    <row r="113" customHeight="1" spans="2:16">
      <c r="B113" s="8" t="s">
        <v>238</v>
      </c>
      <c r="C113" s="9" t="s">
        <v>125</v>
      </c>
      <c r="D113" s="1">
        <v>1070</v>
      </c>
      <c r="E113" s="9"/>
      <c r="G113" s="1" t="s">
        <v>225</v>
      </c>
      <c r="H113" s="1" t="s">
        <v>40</v>
      </c>
      <c r="I113" s="2">
        <v>197530.38</v>
      </c>
      <c r="J113" s="2">
        <v>197530.38</v>
      </c>
      <c r="L113" s="12" t="s">
        <v>229</v>
      </c>
      <c r="M113" s="9" t="s">
        <v>69</v>
      </c>
      <c r="N113" s="21">
        <v>-605096.37</v>
      </c>
      <c r="O113" s="22">
        <v>-605096.37</v>
      </c>
      <c r="P113" s="23">
        <f>Table2[[#This Row],[Sum of Old TB]]-Table2[[#This Row],[Sum of New TB]]</f>
        <v>0</v>
      </c>
    </row>
    <row r="114" customHeight="1" spans="2:16">
      <c r="B114" s="8" t="s">
        <v>239</v>
      </c>
      <c r="C114" s="9" t="s">
        <v>129</v>
      </c>
      <c r="D114" s="1">
        <v>7560.9</v>
      </c>
      <c r="E114" s="9"/>
      <c r="G114" s="1" t="s">
        <v>226</v>
      </c>
      <c r="H114" s="1" t="s">
        <v>42</v>
      </c>
      <c r="I114" s="2">
        <v>-9012.54</v>
      </c>
      <c r="J114" s="2">
        <v>-9012.54</v>
      </c>
      <c r="L114" s="12" t="s">
        <v>230</v>
      </c>
      <c r="M114" s="9" t="s">
        <v>107</v>
      </c>
      <c r="N114" s="21">
        <v>196248.84</v>
      </c>
      <c r="O114" s="22">
        <v>196248.84</v>
      </c>
      <c r="P114" s="23">
        <f>Table2[[#This Row],[Sum of Old TB]]-Table2[[#This Row],[Sum of New TB]]</f>
        <v>0</v>
      </c>
    </row>
    <row r="115" customHeight="1" spans="2:16">
      <c r="B115" s="8" t="s">
        <v>240</v>
      </c>
      <c r="C115" s="9" t="s">
        <v>131</v>
      </c>
      <c r="D115" s="1">
        <v>5696.16</v>
      </c>
      <c r="E115" s="9"/>
      <c r="G115" s="1" t="s">
        <v>227</v>
      </c>
      <c r="H115" s="1" t="s">
        <v>228</v>
      </c>
      <c r="I115" s="2">
        <v>-188517.84</v>
      </c>
      <c r="J115" s="2">
        <v>-188517.84</v>
      </c>
      <c r="L115" s="12" t="s">
        <v>231</v>
      </c>
      <c r="M115" s="9" t="s">
        <v>109</v>
      </c>
      <c r="N115" s="21">
        <v>17717.87</v>
      </c>
      <c r="O115" s="22">
        <v>17717.87</v>
      </c>
      <c r="P115" s="23">
        <f>Table2[[#This Row],[Sum of Old TB]]-Table2[[#This Row],[Sum of New TB]]</f>
        <v>0</v>
      </c>
    </row>
    <row r="116" customHeight="1" spans="2:16">
      <c r="B116" s="8" t="s">
        <v>241</v>
      </c>
      <c r="C116" s="9" t="s">
        <v>133</v>
      </c>
      <c r="D116" s="1">
        <v>553.28</v>
      </c>
      <c r="E116" s="9"/>
      <c r="G116" s="1" t="s">
        <v>229</v>
      </c>
      <c r="H116" s="1" t="s">
        <v>69</v>
      </c>
      <c r="I116" s="2">
        <v>-605096.37</v>
      </c>
      <c r="J116" s="2">
        <v>-605096.37</v>
      </c>
      <c r="L116" s="12" t="s">
        <v>232</v>
      </c>
      <c r="M116" s="9" t="s">
        <v>111</v>
      </c>
      <c r="N116" s="21">
        <v>90646.82</v>
      </c>
      <c r="O116" s="22">
        <v>90646.82</v>
      </c>
      <c r="P116" s="23">
        <f>Table2[[#This Row],[Sum of Old TB]]-Table2[[#This Row],[Sum of New TB]]</f>
        <v>0</v>
      </c>
    </row>
    <row r="117" customHeight="1" spans="2:16">
      <c r="B117" s="8" t="s">
        <v>242</v>
      </c>
      <c r="C117" s="9" t="s">
        <v>143</v>
      </c>
      <c r="D117" s="1">
        <v>4946.39</v>
      </c>
      <c r="E117" s="9"/>
      <c r="G117" s="1" t="s">
        <v>230</v>
      </c>
      <c r="H117" s="1" t="s">
        <v>107</v>
      </c>
      <c r="I117" s="2">
        <v>196248.84</v>
      </c>
      <c r="J117" s="2">
        <v>196248.84</v>
      </c>
      <c r="L117" s="12" t="s">
        <v>235</v>
      </c>
      <c r="M117" s="9" t="s">
        <v>113</v>
      </c>
      <c r="N117" s="21">
        <v>4500</v>
      </c>
      <c r="O117" s="22">
        <v>4500</v>
      </c>
      <c r="P117" s="23">
        <f>Table2[[#This Row],[Sum of Old TB]]-Table2[[#This Row],[Sum of New TB]]</f>
        <v>0</v>
      </c>
    </row>
    <row r="118" customHeight="1" spans="2:16">
      <c r="B118" s="8" t="s">
        <v>243</v>
      </c>
      <c r="C118" s="9" t="s">
        <v>145</v>
      </c>
      <c r="D118" s="1">
        <v>606</v>
      </c>
      <c r="E118" s="9"/>
      <c r="G118" s="1" t="s">
        <v>231</v>
      </c>
      <c r="H118" s="1" t="s">
        <v>109</v>
      </c>
      <c r="I118" s="2">
        <v>17717.87</v>
      </c>
      <c r="J118" s="2">
        <v>17717.87</v>
      </c>
      <c r="L118" s="12" t="s">
        <v>236</v>
      </c>
      <c r="M118" s="9" t="s">
        <v>117</v>
      </c>
      <c r="N118" s="21">
        <v>40045.17</v>
      </c>
      <c r="O118" s="22">
        <v>40045.17</v>
      </c>
      <c r="P118" s="23">
        <f>Table2[[#This Row],[Sum of Old TB]]-Table2[[#This Row],[Sum of New TB]]</f>
        <v>0</v>
      </c>
    </row>
    <row r="119" customHeight="1" spans="2:16">
      <c r="B119" s="8" t="s">
        <v>244</v>
      </c>
      <c r="C119" s="9" t="s">
        <v>147</v>
      </c>
      <c r="D119" s="1">
        <v>10798.01</v>
      </c>
      <c r="E119" s="9"/>
      <c r="G119" s="1" t="s">
        <v>232</v>
      </c>
      <c r="H119" s="1" t="s">
        <v>111</v>
      </c>
      <c r="I119" s="2">
        <v>90646.82</v>
      </c>
      <c r="J119" s="2">
        <v>90646.82</v>
      </c>
      <c r="L119" s="12" t="s">
        <v>237</v>
      </c>
      <c r="M119" s="9" t="s">
        <v>121</v>
      </c>
      <c r="N119" s="21">
        <v>517.5</v>
      </c>
      <c r="O119" s="22">
        <v>517.5</v>
      </c>
      <c r="P119" s="23">
        <f>Table2[[#This Row],[Sum of Old TB]]-Table2[[#This Row],[Sum of New TB]]</f>
        <v>0</v>
      </c>
    </row>
    <row r="120" customHeight="1" spans="2:16">
      <c r="B120" s="8" t="s">
        <v>245</v>
      </c>
      <c r="C120" s="9" t="s">
        <v>149</v>
      </c>
      <c r="D120" s="1">
        <v>5212.84</v>
      </c>
      <c r="E120" s="9"/>
      <c r="G120" s="1" t="s">
        <v>235</v>
      </c>
      <c r="H120" s="1" t="s">
        <v>113</v>
      </c>
      <c r="I120" s="2">
        <v>4500</v>
      </c>
      <c r="J120" s="2">
        <v>4500</v>
      </c>
      <c r="L120" s="12" t="s">
        <v>238</v>
      </c>
      <c r="M120" s="9" t="s">
        <v>125</v>
      </c>
      <c r="N120" s="21">
        <v>1070</v>
      </c>
      <c r="O120" s="22">
        <v>1070</v>
      </c>
      <c r="P120" s="23">
        <f>Table2[[#This Row],[Sum of Old TB]]-Table2[[#This Row],[Sum of New TB]]</f>
        <v>0</v>
      </c>
    </row>
    <row r="121" customHeight="1" spans="2:16">
      <c r="B121" s="8" t="s">
        <v>246</v>
      </c>
      <c r="C121" s="9" t="s">
        <v>151</v>
      </c>
      <c r="D121" s="1">
        <v>1025.89</v>
      </c>
      <c r="E121" s="9"/>
      <c r="G121" s="1" t="s">
        <v>236</v>
      </c>
      <c r="H121" s="1" t="s">
        <v>117</v>
      </c>
      <c r="I121" s="2">
        <v>40045.17</v>
      </c>
      <c r="J121" s="2">
        <v>40045.17</v>
      </c>
      <c r="L121" s="12" t="s">
        <v>239</v>
      </c>
      <c r="M121" s="9" t="s">
        <v>129</v>
      </c>
      <c r="N121" s="21">
        <v>7560.9</v>
      </c>
      <c r="O121" s="22">
        <v>7560.9</v>
      </c>
      <c r="P121" s="23">
        <f>Table2[[#This Row],[Sum of Old TB]]-Table2[[#This Row],[Sum of New TB]]</f>
        <v>0</v>
      </c>
    </row>
    <row r="122" customHeight="1" spans="2:16">
      <c r="B122" s="8" t="s">
        <v>247</v>
      </c>
      <c r="C122" s="9" t="s">
        <v>153</v>
      </c>
      <c r="D122" s="1">
        <v>2581.57</v>
      </c>
      <c r="E122" s="9"/>
      <c r="G122" s="1" t="s">
        <v>237</v>
      </c>
      <c r="H122" s="1" t="s">
        <v>121</v>
      </c>
      <c r="I122" s="2">
        <v>517.5</v>
      </c>
      <c r="J122" s="2">
        <v>517.5</v>
      </c>
      <c r="L122" s="12" t="s">
        <v>240</v>
      </c>
      <c r="M122" s="9" t="s">
        <v>131</v>
      </c>
      <c r="N122" s="21">
        <v>5696.16</v>
      </c>
      <c r="O122" s="22">
        <v>5696.16</v>
      </c>
      <c r="P122" s="23">
        <f>Table2[[#This Row],[Sum of Old TB]]-Table2[[#This Row],[Sum of New TB]]</f>
        <v>0</v>
      </c>
    </row>
    <row r="123" customHeight="1" spans="2:16">
      <c r="B123" s="8" t="s">
        <v>248</v>
      </c>
      <c r="C123" s="9" t="s">
        <v>249</v>
      </c>
      <c r="D123" s="1">
        <v>4210.47</v>
      </c>
      <c r="E123" s="9"/>
      <c r="G123" s="1" t="s">
        <v>238</v>
      </c>
      <c r="H123" s="1" t="s">
        <v>125</v>
      </c>
      <c r="I123" s="2">
        <v>1070</v>
      </c>
      <c r="J123" s="2">
        <v>1070</v>
      </c>
      <c r="L123" s="12" t="s">
        <v>241</v>
      </c>
      <c r="M123" s="9" t="s">
        <v>133</v>
      </c>
      <c r="N123" s="21">
        <v>553.28</v>
      </c>
      <c r="O123" s="22">
        <v>553.28</v>
      </c>
      <c r="P123" s="23">
        <f>Table2[[#This Row],[Sum of Old TB]]-Table2[[#This Row],[Sum of New TB]]</f>
        <v>0</v>
      </c>
    </row>
    <row r="124" customHeight="1" spans="2:16">
      <c r="B124" s="8" t="s">
        <v>250</v>
      </c>
      <c r="C124" s="9" t="s">
        <v>161</v>
      </c>
      <c r="D124" s="1">
        <v>8062.28</v>
      </c>
      <c r="E124" s="9"/>
      <c r="G124" s="1" t="s">
        <v>239</v>
      </c>
      <c r="H124" s="1" t="s">
        <v>129</v>
      </c>
      <c r="I124" s="2">
        <v>7560.9</v>
      </c>
      <c r="J124" s="2">
        <v>7560.9</v>
      </c>
      <c r="L124" s="12" t="s">
        <v>242</v>
      </c>
      <c r="M124" s="9" t="s">
        <v>143</v>
      </c>
      <c r="N124" s="21">
        <v>4946.39</v>
      </c>
      <c r="O124" s="22">
        <v>4946.39</v>
      </c>
      <c r="P124" s="23">
        <f>Table2[[#This Row],[Sum of Old TB]]-Table2[[#This Row],[Sum of New TB]]</f>
        <v>0</v>
      </c>
    </row>
    <row r="125" customHeight="1" spans="2:16">
      <c r="B125" s="8" t="s">
        <v>251</v>
      </c>
      <c r="C125" s="9" t="s">
        <v>252</v>
      </c>
      <c r="D125" s="1">
        <v>747.5</v>
      </c>
      <c r="E125" s="9"/>
      <c r="G125" s="1" t="s">
        <v>240</v>
      </c>
      <c r="H125" s="1" t="s">
        <v>131</v>
      </c>
      <c r="I125" s="2">
        <v>5696.16</v>
      </c>
      <c r="J125" s="2">
        <v>5696.16</v>
      </c>
      <c r="L125" s="12" t="s">
        <v>243</v>
      </c>
      <c r="M125" s="9" t="s">
        <v>145</v>
      </c>
      <c r="N125" s="21">
        <v>606</v>
      </c>
      <c r="O125" s="22">
        <v>606</v>
      </c>
      <c r="P125" s="23">
        <f>Table2[[#This Row],[Sum of Old TB]]-Table2[[#This Row],[Sum of New TB]]</f>
        <v>0</v>
      </c>
    </row>
    <row r="126" customHeight="1" spans="2:16">
      <c r="B126" s="8" t="s">
        <v>253</v>
      </c>
      <c r="C126" s="9" t="s">
        <v>165</v>
      </c>
      <c r="D126" s="1">
        <v>3652.45</v>
      </c>
      <c r="E126" s="9"/>
      <c r="G126" s="1" t="s">
        <v>241</v>
      </c>
      <c r="H126" s="1" t="s">
        <v>133</v>
      </c>
      <c r="I126" s="2">
        <v>553.28</v>
      </c>
      <c r="J126" s="2">
        <v>553.28</v>
      </c>
      <c r="L126" s="12" t="s">
        <v>244</v>
      </c>
      <c r="M126" s="9" t="s">
        <v>147</v>
      </c>
      <c r="N126" s="21">
        <v>10798.01</v>
      </c>
      <c r="O126" s="22">
        <v>10798.01</v>
      </c>
      <c r="P126" s="23">
        <f>Table2[[#This Row],[Sum of Old TB]]-Table2[[#This Row],[Sum of New TB]]</f>
        <v>0</v>
      </c>
    </row>
    <row r="127" customHeight="1" spans="2:16">
      <c r="B127" s="8" t="s">
        <v>254</v>
      </c>
      <c r="C127" s="9" t="s">
        <v>167</v>
      </c>
      <c r="D127" s="1">
        <v>107.25</v>
      </c>
      <c r="E127" s="9"/>
      <c r="G127" s="1" t="s">
        <v>242</v>
      </c>
      <c r="H127" s="1" t="s">
        <v>143</v>
      </c>
      <c r="I127" s="2">
        <v>4946.39</v>
      </c>
      <c r="J127" s="2">
        <v>4946.39</v>
      </c>
      <c r="L127" s="12" t="s">
        <v>245</v>
      </c>
      <c r="M127" s="9" t="s">
        <v>149</v>
      </c>
      <c r="N127" s="21">
        <v>5212.84</v>
      </c>
      <c r="O127" s="22">
        <v>5212.84</v>
      </c>
      <c r="P127" s="23">
        <f>Table2[[#This Row],[Sum of Old TB]]-Table2[[#This Row],[Sum of New TB]]</f>
        <v>0</v>
      </c>
    </row>
    <row r="128" customHeight="1" spans="2:16">
      <c r="B128" s="8" t="s">
        <v>255</v>
      </c>
      <c r="C128" s="9" t="s">
        <v>169</v>
      </c>
      <c r="D128" s="1">
        <v>3399.25</v>
      </c>
      <c r="E128" s="9"/>
      <c r="G128" s="1" t="s">
        <v>243</v>
      </c>
      <c r="H128" s="1" t="s">
        <v>145</v>
      </c>
      <c r="I128" s="2">
        <v>606</v>
      </c>
      <c r="J128" s="2">
        <v>606</v>
      </c>
      <c r="L128" s="12" t="s">
        <v>246</v>
      </c>
      <c r="M128" s="9" t="s">
        <v>151</v>
      </c>
      <c r="N128" s="21">
        <v>1025.89</v>
      </c>
      <c r="O128" s="22">
        <v>1025.89</v>
      </c>
      <c r="P128" s="23">
        <f>Table2[[#This Row],[Sum of Old TB]]-Table2[[#This Row],[Sum of New TB]]</f>
        <v>0</v>
      </c>
    </row>
    <row r="129" customHeight="1" spans="2:16">
      <c r="B129" s="8" t="s">
        <v>256</v>
      </c>
      <c r="C129" s="9" t="s">
        <v>171</v>
      </c>
      <c r="D129" s="1">
        <v>16.32</v>
      </c>
      <c r="E129" s="9"/>
      <c r="G129" s="1" t="s">
        <v>244</v>
      </c>
      <c r="H129" s="1" t="s">
        <v>147</v>
      </c>
      <c r="I129" s="2">
        <v>10798.01</v>
      </c>
      <c r="J129" s="2">
        <v>10798.01</v>
      </c>
      <c r="L129" s="12" t="s">
        <v>247</v>
      </c>
      <c r="M129" s="9" t="s">
        <v>153</v>
      </c>
      <c r="N129" s="21">
        <v>2581.57</v>
      </c>
      <c r="O129" s="22">
        <v>2581.57</v>
      </c>
      <c r="P129" s="23">
        <f>Table2[[#This Row],[Sum of Old TB]]-Table2[[#This Row],[Sum of New TB]]</f>
        <v>0</v>
      </c>
    </row>
    <row r="130" customHeight="1" spans="2:16">
      <c r="B130" s="8" t="s">
        <v>257</v>
      </c>
      <c r="C130" s="9" t="s">
        <v>175</v>
      </c>
      <c r="D130" s="1">
        <v>25609.4</v>
      </c>
      <c r="E130" s="9"/>
      <c r="G130" s="1" t="s">
        <v>245</v>
      </c>
      <c r="H130" s="1" t="s">
        <v>149</v>
      </c>
      <c r="I130" s="2">
        <v>5212.84</v>
      </c>
      <c r="J130" s="2">
        <v>5212.84</v>
      </c>
      <c r="L130" s="12" t="s">
        <v>248</v>
      </c>
      <c r="M130" s="9" t="s">
        <v>249</v>
      </c>
      <c r="N130" s="21">
        <v>4210.47</v>
      </c>
      <c r="O130" s="22">
        <v>4210.47</v>
      </c>
      <c r="P130" s="23">
        <f>Table2[[#This Row],[Sum of Old TB]]-Table2[[#This Row],[Sum of New TB]]</f>
        <v>0</v>
      </c>
    </row>
    <row r="131" customHeight="1" spans="2:16">
      <c r="B131" s="8" t="s">
        <v>258</v>
      </c>
      <c r="C131" s="9" t="s">
        <v>177</v>
      </c>
      <c r="D131" s="1">
        <v>7620.5</v>
      </c>
      <c r="E131" s="9"/>
      <c r="G131" s="1" t="s">
        <v>246</v>
      </c>
      <c r="H131" s="1" t="s">
        <v>151</v>
      </c>
      <c r="I131" s="2">
        <v>1025.89</v>
      </c>
      <c r="J131" s="2">
        <v>1025.89</v>
      </c>
      <c r="L131" s="12" t="s">
        <v>250</v>
      </c>
      <c r="M131" s="9" t="s">
        <v>161</v>
      </c>
      <c r="N131" s="21">
        <v>8062.28</v>
      </c>
      <c r="O131" s="22">
        <v>8062.28</v>
      </c>
      <c r="P131" s="23">
        <f>Table2[[#This Row],[Sum of Old TB]]-Table2[[#This Row],[Sum of New TB]]</f>
        <v>0</v>
      </c>
    </row>
    <row r="132" customHeight="1" spans="2:16">
      <c r="B132" s="8" t="s">
        <v>259</v>
      </c>
      <c r="C132" s="9" t="s">
        <v>260</v>
      </c>
      <c r="D132" s="1">
        <v>4626.59</v>
      </c>
      <c r="E132" s="9"/>
      <c r="G132" s="1" t="s">
        <v>247</v>
      </c>
      <c r="H132" s="1" t="s">
        <v>153</v>
      </c>
      <c r="I132" s="2">
        <v>2581.57</v>
      </c>
      <c r="J132" s="2">
        <v>2581.57</v>
      </c>
      <c r="L132" s="12" t="s">
        <v>251</v>
      </c>
      <c r="M132" s="9" t="s">
        <v>252</v>
      </c>
      <c r="N132" s="21">
        <v>747.5</v>
      </c>
      <c r="O132" s="22">
        <v>747.5</v>
      </c>
      <c r="P132" s="23">
        <f>Table2[[#This Row],[Sum of Old TB]]-Table2[[#This Row],[Sum of New TB]]</f>
        <v>0</v>
      </c>
    </row>
    <row r="133" customHeight="1" spans="2:16">
      <c r="B133" s="8" t="s">
        <v>261</v>
      </c>
      <c r="C133" s="9" t="s">
        <v>179</v>
      </c>
      <c r="D133" s="1">
        <v>14115.37</v>
      </c>
      <c r="E133" s="9"/>
      <c r="G133" s="1" t="s">
        <v>248</v>
      </c>
      <c r="H133" s="1" t="s">
        <v>249</v>
      </c>
      <c r="I133" s="2">
        <v>4210.47</v>
      </c>
      <c r="J133" s="2">
        <v>4210.47</v>
      </c>
      <c r="L133" s="12" t="s">
        <v>253</v>
      </c>
      <c r="M133" s="9" t="s">
        <v>165</v>
      </c>
      <c r="N133" s="21">
        <v>3652.45</v>
      </c>
      <c r="O133" s="22">
        <v>3652.45</v>
      </c>
      <c r="P133" s="23">
        <f>Table2[[#This Row],[Sum of Old TB]]-Table2[[#This Row],[Sum of New TB]]</f>
        <v>0</v>
      </c>
    </row>
    <row r="134" customHeight="1" spans="2:16">
      <c r="B134" s="8" t="s">
        <v>262</v>
      </c>
      <c r="C134" s="9" t="s">
        <v>183</v>
      </c>
      <c r="D134" s="1">
        <v>7891.56</v>
      </c>
      <c r="E134" s="9"/>
      <c r="G134" s="1" t="s">
        <v>250</v>
      </c>
      <c r="H134" s="1" t="s">
        <v>161</v>
      </c>
      <c r="I134" s="2">
        <v>8062.28</v>
      </c>
      <c r="J134" s="2">
        <v>8062.28</v>
      </c>
      <c r="L134" s="12" t="s">
        <v>254</v>
      </c>
      <c r="M134" s="9" t="s">
        <v>167</v>
      </c>
      <c r="N134" s="21">
        <v>107.25</v>
      </c>
      <c r="O134" s="22">
        <v>107.25</v>
      </c>
      <c r="P134" s="23">
        <f>Table2[[#This Row],[Sum of Old TB]]-Table2[[#This Row],[Sum of New TB]]</f>
        <v>0</v>
      </c>
    </row>
    <row r="135" customHeight="1" spans="2:16">
      <c r="B135" s="8" t="s">
        <v>263</v>
      </c>
      <c r="C135" s="9" t="s">
        <v>185</v>
      </c>
      <c r="D135" s="1">
        <v>6131.57</v>
      </c>
      <c r="E135" s="9"/>
      <c r="G135" s="1" t="s">
        <v>251</v>
      </c>
      <c r="H135" s="1" t="s">
        <v>252</v>
      </c>
      <c r="I135" s="2">
        <v>747.5</v>
      </c>
      <c r="J135" s="2">
        <v>747.5</v>
      </c>
      <c r="L135" s="12" t="s">
        <v>255</v>
      </c>
      <c r="M135" s="9" t="s">
        <v>169</v>
      </c>
      <c r="N135" s="21">
        <v>3399.25</v>
      </c>
      <c r="O135" s="22">
        <v>3399.25</v>
      </c>
      <c r="P135" s="23">
        <f>Table2[[#This Row],[Sum of Old TB]]-Table2[[#This Row],[Sum of New TB]]</f>
        <v>0</v>
      </c>
    </row>
    <row r="136" customHeight="1" spans="2:16">
      <c r="B136" s="8" t="s">
        <v>264</v>
      </c>
      <c r="C136" s="9" t="s">
        <v>187</v>
      </c>
      <c r="D136" s="1">
        <v>1900</v>
      </c>
      <c r="E136" s="9"/>
      <c r="G136" s="1" t="s">
        <v>253</v>
      </c>
      <c r="H136" s="1" t="s">
        <v>165</v>
      </c>
      <c r="I136" s="2">
        <v>3652.45</v>
      </c>
      <c r="J136" s="2">
        <v>3652.45</v>
      </c>
      <c r="L136" s="12" t="s">
        <v>256</v>
      </c>
      <c r="M136" s="9" t="s">
        <v>171</v>
      </c>
      <c r="N136" s="21">
        <v>16.32</v>
      </c>
      <c r="O136" s="22">
        <v>16.32</v>
      </c>
      <c r="P136" s="23">
        <f>Table2[[#This Row],[Sum of Old TB]]-Table2[[#This Row],[Sum of New TB]]</f>
        <v>0</v>
      </c>
    </row>
    <row r="137" customHeight="1" spans="2:16">
      <c r="B137" s="8" t="s">
        <v>265</v>
      </c>
      <c r="C137" s="9" t="s">
        <v>266</v>
      </c>
      <c r="D137" s="1">
        <v>735</v>
      </c>
      <c r="E137" s="9"/>
      <c r="G137" s="1" t="s">
        <v>254</v>
      </c>
      <c r="H137" s="1" t="s">
        <v>167</v>
      </c>
      <c r="I137" s="2">
        <v>107.25</v>
      </c>
      <c r="J137" s="2">
        <v>107.25</v>
      </c>
      <c r="L137" s="12" t="s">
        <v>257</v>
      </c>
      <c r="M137" s="9" t="s">
        <v>175</v>
      </c>
      <c r="N137" s="21">
        <v>25609.4</v>
      </c>
      <c r="O137" s="22">
        <v>25609.4</v>
      </c>
      <c r="P137" s="23">
        <f>Table2[[#This Row],[Sum of Old TB]]-Table2[[#This Row],[Sum of New TB]]</f>
        <v>0</v>
      </c>
    </row>
    <row r="138" customHeight="1" spans="2:16">
      <c r="B138" s="8" t="s">
        <v>267</v>
      </c>
      <c r="C138" s="9" t="s">
        <v>191</v>
      </c>
      <c r="D138" s="1">
        <v>493.47</v>
      </c>
      <c r="E138" s="9"/>
      <c r="G138" s="1" t="s">
        <v>255</v>
      </c>
      <c r="H138" s="1" t="s">
        <v>169</v>
      </c>
      <c r="I138" s="2">
        <v>3399.25</v>
      </c>
      <c r="J138" s="2">
        <v>3399.25</v>
      </c>
      <c r="L138" s="12" t="s">
        <v>258</v>
      </c>
      <c r="M138" s="9" t="s">
        <v>177</v>
      </c>
      <c r="N138" s="21">
        <v>7620.5</v>
      </c>
      <c r="O138" s="22">
        <v>7620.5</v>
      </c>
      <c r="P138" s="23">
        <f>Table2[[#This Row],[Sum of Old TB]]-Table2[[#This Row],[Sum of New TB]]</f>
        <v>0</v>
      </c>
    </row>
    <row r="139" customHeight="1" spans="2:16">
      <c r="B139" s="8" t="s">
        <v>268</v>
      </c>
      <c r="C139" s="9" t="s">
        <v>197</v>
      </c>
      <c r="D139" s="1">
        <v>6803.88</v>
      </c>
      <c r="E139" s="9"/>
      <c r="G139" s="1" t="s">
        <v>256</v>
      </c>
      <c r="H139" s="1" t="s">
        <v>171</v>
      </c>
      <c r="I139" s="2">
        <v>16.32</v>
      </c>
      <c r="J139" s="2">
        <v>16.32</v>
      </c>
      <c r="L139" s="12" t="s">
        <v>259</v>
      </c>
      <c r="M139" s="9" t="s">
        <v>260</v>
      </c>
      <c r="N139" s="21">
        <v>4626.59</v>
      </c>
      <c r="O139" s="22">
        <v>4626.59</v>
      </c>
      <c r="P139" s="23">
        <f>Table2[[#This Row],[Sum of Old TB]]-Table2[[#This Row],[Sum of New TB]]</f>
        <v>0</v>
      </c>
    </row>
    <row r="140" customHeight="1" spans="2:16">
      <c r="B140" s="8" t="s">
        <v>269</v>
      </c>
      <c r="C140" s="9" t="s">
        <v>270</v>
      </c>
      <c r="D140" s="1">
        <v>796.1</v>
      </c>
      <c r="E140" s="9"/>
      <c r="G140" s="1" t="s">
        <v>257</v>
      </c>
      <c r="H140" s="1" t="s">
        <v>175</v>
      </c>
      <c r="I140" s="2">
        <v>25609.4</v>
      </c>
      <c r="J140" s="2">
        <v>25609.4</v>
      </c>
      <c r="L140" s="12" t="s">
        <v>261</v>
      </c>
      <c r="M140" s="9" t="s">
        <v>179</v>
      </c>
      <c r="N140" s="21">
        <v>14115.37</v>
      </c>
      <c r="O140" s="22">
        <v>14115.37</v>
      </c>
      <c r="P140" s="23">
        <f>Table2[[#This Row],[Sum of Old TB]]-Table2[[#This Row],[Sum of New TB]]</f>
        <v>0</v>
      </c>
    </row>
    <row r="141" customHeight="1" spans="2:16">
      <c r="B141" s="8" t="s">
        <v>271</v>
      </c>
      <c r="C141" s="9" t="s">
        <v>210</v>
      </c>
      <c r="D141" s="1">
        <v>36435.1</v>
      </c>
      <c r="E141" s="9"/>
      <c r="G141" s="1" t="s">
        <v>258</v>
      </c>
      <c r="H141" s="1" t="s">
        <v>177</v>
      </c>
      <c r="I141" s="2">
        <v>7620.5</v>
      </c>
      <c r="J141" s="2">
        <v>7620.5</v>
      </c>
      <c r="L141" s="12" t="s">
        <v>262</v>
      </c>
      <c r="M141" s="9" t="s">
        <v>183</v>
      </c>
      <c r="N141" s="21">
        <v>7891.56</v>
      </c>
      <c r="O141" s="22">
        <v>7891.56</v>
      </c>
      <c r="P141" s="23">
        <f>Table2[[#This Row],[Sum of Old TB]]-Table2[[#This Row],[Sum of New TB]]</f>
        <v>0</v>
      </c>
    </row>
    <row r="142" customHeight="1" spans="2:16">
      <c r="B142" s="8" t="s">
        <v>272</v>
      </c>
      <c r="C142" s="9" t="s">
        <v>214</v>
      </c>
      <c r="D142" s="1">
        <v>2900</v>
      </c>
      <c r="E142" s="9"/>
      <c r="G142" s="1" t="s">
        <v>259</v>
      </c>
      <c r="H142" s="1" t="s">
        <v>260</v>
      </c>
      <c r="I142" s="2">
        <v>4626.59</v>
      </c>
      <c r="J142" s="2">
        <v>4626.59</v>
      </c>
      <c r="L142" s="12" t="s">
        <v>263</v>
      </c>
      <c r="M142" s="9" t="s">
        <v>185</v>
      </c>
      <c r="N142" s="21">
        <v>6131.57</v>
      </c>
      <c r="O142" s="22">
        <v>6131.57</v>
      </c>
      <c r="P142" s="23">
        <f>Table2[[#This Row],[Sum of Old TB]]-Table2[[#This Row],[Sum of New TB]]</f>
        <v>0</v>
      </c>
    </row>
    <row r="143" customHeight="1" spans="2:16">
      <c r="B143" s="8" t="s">
        <v>273</v>
      </c>
      <c r="C143" s="9" t="s">
        <v>216</v>
      </c>
      <c r="D143" s="1">
        <v>115</v>
      </c>
      <c r="E143" s="9"/>
      <c r="G143" s="1" t="s">
        <v>261</v>
      </c>
      <c r="H143" s="1" t="s">
        <v>179</v>
      </c>
      <c r="I143" s="2">
        <v>14115.37</v>
      </c>
      <c r="J143" s="2">
        <v>14115.37</v>
      </c>
      <c r="L143" s="12" t="s">
        <v>264</v>
      </c>
      <c r="M143" s="9" t="s">
        <v>187</v>
      </c>
      <c r="N143" s="21">
        <v>1900</v>
      </c>
      <c r="O143" s="22">
        <v>1900</v>
      </c>
      <c r="P143" s="23">
        <f>Table2[[#This Row],[Sum of Old TB]]-Table2[[#This Row],[Sum of New TB]]</f>
        <v>0</v>
      </c>
    </row>
    <row r="144" customHeight="1" spans="2:16">
      <c r="B144" s="8" t="s">
        <v>274</v>
      </c>
      <c r="C144" s="9" t="s">
        <v>275</v>
      </c>
      <c r="D144" s="1">
        <v>79000.07</v>
      </c>
      <c r="E144" s="9"/>
      <c r="G144" s="1" t="s">
        <v>262</v>
      </c>
      <c r="H144" s="1" t="s">
        <v>183</v>
      </c>
      <c r="I144" s="2">
        <v>7891.56</v>
      </c>
      <c r="J144" s="2">
        <v>7891.56</v>
      </c>
      <c r="L144" s="12" t="s">
        <v>265</v>
      </c>
      <c r="M144" s="9" t="s">
        <v>266</v>
      </c>
      <c r="N144" s="21">
        <v>735</v>
      </c>
      <c r="O144" s="22">
        <v>735</v>
      </c>
      <c r="P144" s="23">
        <f>Table2[[#This Row],[Sum of Old TB]]-Table2[[#This Row],[Sum of New TB]]</f>
        <v>0</v>
      </c>
    </row>
    <row r="145" customHeight="1" spans="2:16">
      <c r="B145" s="8" t="s">
        <v>276</v>
      </c>
      <c r="C145" s="9" t="s">
        <v>277</v>
      </c>
      <c r="D145" s="1">
        <v>9866.18</v>
      </c>
      <c r="E145" s="9"/>
      <c r="G145" s="1" t="s">
        <v>263</v>
      </c>
      <c r="H145" s="1" t="s">
        <v>185</v>
      </c>
      <c r="I145" s="2">
        <v>6131.57</v>
      </c>
      <c r="J145" s="2">
        <v>6131.57</v>
      </c>
      <c r="L145" s="12" t="s">
        <v>267</v>
      </c>
      <c r="M145" s="9" t="s">
        <v>191</v>
      </c>
      <c r="N145" s="21">
        <v>493.47</v>
      </c>
      <c r="O145" s="22">
        <v>493.47</v>
      </c>
      <c r="P145" s="23">
        <f>Table2[[#This Row],[Sum of Old TB]]-Table2[[#This Row],[Sum of New TB]]</f>
        <v>0</v>
      </c>
    </row>
    <row r="146" customHeight="1" spans="2:16">
      <c r="B146" s="8" t="s">
        <v>278</v>
      </c>
      <c r="C146" s="9" t="s">
        <v>40</v>
      </c>
      <c r="D146" s="1">
        <v>-9547.74</v>
      </c>
      <c r="E146" s="9"/>
      <c r="G146" s="1" t="s">
        <v>264</v>
      </c>
      <c r="H146" s="1" t="s">
        <v>187</v>
      </c>
      <c r="I146" s="2">
        <v>1900</v>
      </c>
      <c r="J146" s="2">
        <v>1900</v>
      </c>
      <c r="L146" s="12" t="s">
        <v>268</v>
      </c>
      <c r="M146" s="9" t="s">
        <v>197</v>
      </c>
      <c r="N146" s="21">
        <v>6803.88</v>
      </c>
      <c r="O146" s="22">
        <v>6803.88</v>
      </c>
      <c r="P146" s="23">
        <f>Table2[[#This Row],[Sum of Old TB]]-Table2[[#This Row],[Sum of New TB]]</f>
        <v>0</v>
      </c>
    </row>
    <row r="147" customHeight="1" spans="2:16">
      <c r="B147" s="8" t="s">
        <v>279</v>
      </c>
      <c r="C147" s="9" t="s">
        <v>42</v>
      </c>
      <c r="D147" s="1">
        <v>-318.44</v>
      </c>
      <c r="E147" s="9"/>
      <c r="G147" s="1" t="s">
        <v>265</v>
      </c>
      <c r="H147" s="1" t="s">
        <v>266</v>
      </c>
      <c r="I147" s="2">
        <v>735</v>
      </c>
      <c r="J147" s="2">
        <v>735</v>
      </c>
      <c r="L147" s="12" t="s">
        <v>269</v>
      </c>
      <c r="M147" s="9" t="s">
        <v>270</v>
      </c>
      <c r="N147" s="21">
        <v>796.1</v>
      </c>
      <c r="O147" s="22">
        <v>796.1</v>
      </c>
      <c r="P147" s="23">
        <f>Table2[[#This Row],[Sum of Old TB]]-Table2[[#This Row],[Sum of New TB]]</f>
        <v>0</v>
      </c>
    </row>
    <row r="148" customHeight="1" spans="2:16">
      <c r="B148" s="8" t="s">
        <v>280</v>
      </c>
      <c r="C148" s="9" t="s">
        <v>69</v>
      </c>
      <c r="D148" s="1">
        <v>-24917.37</v>
      </c>
      <c r="E148" s="9"/>
      <c r="G148" s="1" t="s">
        <v>267</v>
      </c>
      <c r="H148" s="1" t="s">
        <v>191</v>
      </c>
      <c r="I148" s="2">
        <v>493.47</v>
      </c>
      <c r="J148" s="2">
        <v>493.47</v>
      </c>
      <c r="L148" s="12" t="s">
        <v>271</v>
      </c>
      <c r="M148" s="9" t="s">
        <v>210</v>
      </c>
      <c r="N148" s="21">
        <v>36435.1</v>
      </c>
      <c r="O148" s="22">
        <v>36435.1</v>
      </c>
      <c r="P148" s="23">
        <f>Table2[[#This Row],[Sum of Old TB]]-Table2[[#This Row],[Sum of New TB]]</f>
        <v>0</v>
      </c>
    </row>
    <row r="149" customHeight="1" spans="2:16">
      <c r="B149" s="8" t="s">
        <v>281</v>
      </c>
      <c r="C149" s="9" t="s">
        <v>107</v>
      </c>
      <c r="D149" s="1">
        <v>9187.64</v>
      </c>
      <c r="E149" s="9"/>
      <c r="G149" s="1" t="s">
        <v>268</v>
      </c>
      <c r="H149" s="1" t="s">
        <v>197</v>
      </c>
      <c r="I149" s="2">
        <v>6803.88</v>
      </c>
      <c r="J149" s="2">
        <v>6803.88</v>
      </c>
      <c r="L149" s="12" t="s">
        <v>272</v>
      </c>
      <c r="M149" s="9" t="s">
        <v>214</v>
      </c>
      <c r="N149" s="21">
        <v>2900</v>
      </c>
      <c r="O149" s="22">
        <v>2900</v>
      </c>
      <c r="P149" s="23">
        <f>Table2[[#This Row],[Sum of Old TB]]-Table2[[#This Row],[Sum of New TB]]</f>
        <v>0</v>
      </c>
    </row>
    <row r="150" customHeight="1" spans="2:16">
      <c r="B150" s="8" t="s">
        <v>282</v>
      </c>
      <c r="C150" s="9" t="s">
        <v>109</v>
      </c>
      <c r="D150" s="1">
        <v>1013.42</v>
      </c>
      <c r="E150" s="9"/>
      <c r="G150" s="1" t="s">
        <v>269</v>
      </c>
      <c r="H150" s="1" t="s">
        <v>270</v>
      </c>
      <c r="I150" s="2">
        <v>796.1</v>
      </c>
      <c r="J150" s="2">
        <v>796.1</v>
      </c>
      <c r="L150" s="12" t="s">
        <v>273</v>
      </c>
      <c r="M150" s="9" t="s">
        <v>216</v>
      </c>
      <c r="N150" s="21">
        <v>115</v>
      </c>
      <c r="O150" s="22">
        <v>115</v>
      </c>
      <c r="P150" s="23">
        <f>Table2[[#This Row],[Sum of Old TB]]-Table2[[#This Row],[Sum of New TB]]</f>
        <v>0</v>
      </c>
    </row>
    <row r="151" customHeight="1" spans="2:16">
      <c r="B151" s="8" t="s">
        <v>283</v>
      </c>
      <c r="C151" s="9" t="s">
        <v>117</v>
      </c>
      <c r="D151" s="1">
        <v>4100</v>
      </c>
      <c r="E151" s="9"/>
      <c r="G151" s="1" t="s">
        <v>271</v>
      </c>
      <c r="H151" s="1" t="s">
        <v>210</v>
      </c>
      <c r="I151" s="2">
        <v>36435.1</v>
      </c>
      <c r="J151" s="2">
        <v>36435.1</v>
      </c>
      <c r="L151" s="12" t="s">
        <v>274</v>
      </c>
      <c r="M151" s="9" t="s">
        <v>275</v>
      </c>
      <c r="N151" s="21">
        <v>79000.07</v>
      </c>
      <c r="O151" s="22">
        <v>79000.07</v>
      </c>
      <c r="P151" s="23">
        <f>Table2[[#This Row],[Sum of Old TB]]-Table2[[#This Row],[Sum of New TB]]</f>
        <v>0</v>
      </c>
    </row>
    <row r="152" customHeight="1" spans="2:16">
      <c r="B152" s="8" t="s">
        <v>284</v>
      </c>
      <c r="C152" s="9" t="s">
        <v>129</v>
      </c>
      <c r="D152" s="1">
        <v>1750.04</v>
      </c>
      <c r="E152" s="9"/>
      <c r="G152" s="1" t="s">
        <v>272</v>
      </c>
      <c r="H152" s="1" t="s">
        <v>214</v>
      </c>
      <c r="I152" s="2">
        <v>2900</v>
      </c>
      <c r="J152" s="2">
        <v>2900</v>
      </c>
      <c r="L152" s="12" t="s">
        <v>276</v>
      </c>
      <c r="M152" s="9" t="s">
        <v>277</v>
      </c>
      <c r="N152" s="21">
        <v>9866.18</v>
      </c>
      <c r="O152" s="22">
        <v>9866.18</v>
      </c>
      <c r="P152" s="23">
        <f>Table2[[#This Row],[Sum of Old TB]]-Table2[[#This Row],[Sum of New TB]]</f>
        <v>0</v>
      </c>
    </row>
    <row r="153" customHeight="1" spans="2:16">
      <c r="B153" s="8" t="s">
        <v>285</v>
      </c>
      <c r="C153" s="9" t="s">
        <v>286</v>
      </c>
      <c r="D153" s="1">
        <v>1453.85</v>
      </c>
      <c r="E153" s="9"/>
      <c r="G153" s="1" t="s">
        <v>273</v>
      </c>
      <c r="H153" s="1" t="s">
        <v>216</v>
      </c>
      <c r="I153" s="2">
        <v>115</v>
      </c>
      <c r="J153" s="2">
        <v>115</v>
      </c>
      <c r="L153" s="12" t="s">
        <v>278</v>
      </c>
      <c r="M153" s="9" t="s">
        <v>40</v>
      </c>
      <c r="N153" s="21">
        <v>-9547.74</v>
      </c>
      <c r="O153" s="22">
        <v>-9547.74</v>
      </c>
      <c r="P153" s="23">
        <f>Table2[[#This Row],[Sum of Old TB]]-Table2[[#This Row],[Sum of New TB]]</f>
        <v>0</v>
      </c>
    </row>
    <row r="154" customHeight="1" spans="2:16">
      <c r="B154" s="8" t="s">
        <v>287</v>
      </c>
      <c r="C154" s="9" t="s">
        <v>137</v>
      </c>
      <c r="D154" s="1">
        <v>2840.6</v>
      </c>
      <c r="E154" s="9"/>
      <c r="G154" s="1" t="s">
        <v>274</v>
      </c>
      <c r="H154" s="1" t="s">
        <v>275</v>
      </c>
      <c r="I154" s="2">
        <v>79000.07</v>
      </c>
      <c r="J154" s="2">
        <v>79000.07</v>
      </c>
      <c r="L154" s="12" t="s">
        <v>279</v>
      </c>
      <c r="M154" s="9" t="s">
        <v>42</v>
      </c>
      <c r="N154" s="21">
        <v>-318.44</v>
      </c>
      <c r="O154" s="22">
        <v>-318.44</v>
      </c>
      <c r="P154" s="23">
        <f>Table2[[#This Row],[Sum of Old TB]]-Table2[[#This Row],[Sum of New TB]]</f>
        <v>0</v>
      </c>
    </row>
    <row r="155" customHeight="1" spans="2:16">
      <c r="B155" s="8" t="s">
        <v>288</v>
      </c>
      <c r="C155" s="9" t="s">
        <v>139</v>
      </c>
      <c r="D155" s="1">
        <v>3867.11</v>
      </c>
      <c r="E155" s="9"/>
      <c r="G155" s="1" t="s">
        <v>276</v>
      </c>
      <c r="H155" s="1" t="s">
        <v>277</v>
      </c>
      <c r="I155" s="2">
        <v>9866.18</v>
      </c>
      <c r="J155" s="2">
        <v>9866.18</v>
      </c>
      <c r="L155" s="12" t="s">
        <v>280</v>
      </c>
      <c r="M155" s="9" t="s">
        <v>69</v>
      </c>
      <c r="N155" s="21">
        <v>-24917.37</v>
      </c>
      <c r="O155" s="22">
        <v>-24917.37</v>
      </c>
      <c r="P155" s="23">
        <f>Table2[[#This Row],[Sum of Old TB]]-Table2[[#This Row],[Sum of New TB]]</f>
        <v>0</v>
      </c>
    </row>
    <row r="156" customHeight="1" spans="2:16">
      <c r="B156" s="8" t="s">
        <v>289</v>
      </c>
      <c r="C156" s="9" t="s">
        <v>177</v>
      </c>
      <c r="D156" s="1">
        <v>704.71</v>
      </c>
      <c r="E156" s="9"/>
      <c r="G156" s="1" t="s">
        <v>278</v>
      </c>
      <c r="H156" s="1" t="s">
        <v>40</v>
      </c>
      <c r="I156" s="2">
        <v>-9547.74</v>
      </c>
      <c r="J156" s="2">
        <v>-9547.74</v>
      </c>
      <c r="L156" s="12" t="s">
        <v>281</v>
      </c>
      <c r="M156" s="9" t="s">
        <v>107</v>
      </c>
      <c r="N156" s="21">
        <v>9187.64</v>
      </c>
      <c r="O156" s="22">
        <v>9132.64</v>
      </c>
      <c r="P156" s="23">
        <f>Table2[[#This Row],[Sum of Old TB]]-Table2[[#This Row],[Sum of New TB]]</f>
        <v>55</v>
      </c>
    </row>
    <row r="157" customHeight="1" spans="2:16">
      <c r="B157" s="8" t="s">
        <v>290</v>
      </c>
      <c r="C157" s="9" t="s">
        <v>40</v>
      </c>
      <c r="D157" s="1">
        <v>5036.61</v>
      </c>
      <c r="E157" s="9"/>
      <c r="G157" s="1" t="s">
        <v>279</v>
      </c>
      <c r="H157" s="1" t="s">
        <v>42</v>
      </c>
      <c r="I157" s="2">
        <v>-318.44</v>
      </c>
      <c r="J157" s="2">
        <v>-318.44</v>
      </c>
      <c r="L157" s="12" t="s">
        <v>282</v>
      </c>
      <c r="M157" s="9" t="s">
        <v>109</v>
      </c>
      <c r="N157" s="21">
        <v>1013.42</v>
      </c>
      <c r="O157" s="22">
        <v>1013.42</v>
      </c>
      <c r="P157" s="23">
        <f>Table2[[#This Row],[Sum of Old TB]]-Table2[[#This Row],[Sum of New TB]]</f>
        <v>0</v>
      </c>
    </row>
    <row r="158" customHeight="1" spans="2:16">
      <c r="B158" s="8" t="s">
        <v>291</v>
      </c>
      <c r="C158" s="9" t="s">
        <v>42</v>
      </c>
      <c r="D158" s="1">
        <v>-900</v>
      </c>
      <c r="E158" s="9"/>
      <c r="G158" s="1" t="s">
        <v>280</v>
      </c>
      <c r="H158" s="1" t="s">
        <v>69</v>
      </c>
      <c r="I158" s="2">
        <v>-24917.37</v>
      </c>
      <c r="J158" s="2">
        <v>-24917.37</v>
      </c>
      <c r="L158" s="12" t="s">
        <v>283</v>
      </c>
      <c r="M158" s="9" t="s">
        <v>117</v>
      </c>
      <c r="N158" s="21">
        <v>4100</v>
      </c>
      <c r="O158" s="22">
        <v>4100</v>
      </c>
      <c r="P158" s="23">
        <f>Table2[[#This Row],[Sum of Old TB]]-Table2[[#This Row],[Sum of New TB]]</f>
        <v>0</v>
      </c>
    </row>
    <row r="159" customHeight="1" spans="2:16">
      <c r="B159" s="8" t="s">
        <v>292</v>
      </c>
      <c r="C159" s="9" t="s">
        <v>228</v>
      </c>
      <c r="D159" s="1">
        <v>-4136.61</v>
      </c>
      <c r="E159" s="9"/>
      <c r="G159" s="1" t="s">
        <v>281</v>
      </c>
      <c r="H159" s="1" t="s">
        <v>107</v>
      </c>
      <c r="I159" s="2">
        <v>9187.64</v>
      </c>
      <c r="J159" s="2">
        <v>9132.64</v>
      </c>
      <c r="L159" s="12" t="s">
        <v>293</v>
      </c>
      <c r="M159" s="9" t="s">
        <v>125</v>
      </c>
      <c r="N159" s="21"/>
      <c r="O159" s="22">
        <v>55</v>
      </c>
      <c r="P159" s="23">
        <f>Table2[[#This Row],[Sum of Old TB]]-Table2[[#This Row],[Sum of New TB]]</f>
        <v>-55</v>
      </c>
    </row>
    <row r="160" customHeight="1" spans="2:16">
      <c r="B160" s="8" t="s">
        <v>294</v>
      </c>
      <c r="C160" s="9" t="s">
        <v>69</v>
      </c>
      <c r="D160" s="1">
        <v>-23388.77</v>
      </c>
      <c r="E160" s="9"/>
      <c r="G160" s="1" t="s">
        <v>282</v>
      </c>
      <c r="H160" s="1" t="s">
        <v>109</v>
      </c>
      <c r="I160" s="2">
        <v>1013.42</v>
      </c>
      <c r="J160" s="2">
        <v>1013.42</v>
      </c>
      <c r="L160" s="12" t="s">
        <v>284</v>
      </c>
      <c r="M160" s="9" t="s">
        <v>129</v>
      </c>
      <c r="N160" s="21">
        <v>1750.04</v>
      </c>
      <c r="O160" s="22">
        <v>1750.04</v>
      </c>
      <c r="P160" s="23">
        <f>Table2[[#This Row],[Sum of Old TB]]-Table2[[#This Row],[Sum of New TB]]</f>
        <v>0</v>
      </c>
    </row>
    <row r="161" customHeight="1" spans="2:16">
      <c r="B161" s="8" t="s">
        <v>295</v>
      </c>
      <c r="C161" s="9" t="s">
        <v>270</v>
      </c>
      <c r="D161" s="1">
        <v>21245.77</v>
      </c>
      <c r="E161" s="9"/>
      <c r="G161" s="1" t="s">
        <v>283</v>
      </c>
      <c r="H161" s="1" t="s">
        <v>117</v>
      </c>
      <c r="I161" s="2">
        <v>4100</v>
      </c>
      <c r="J161" s="2">
        <v>4100</v>
      </c>
      <c r="L161" s="12" t="s">
        <v>285</v>
      </c>
      <c r="M161" s="9" t="s">
        <v>286</v>
      </c>
      <c r="N161" s="21">
        <v>1453.85</v>
      </c>
      <c r="O161" s="22">
        <v>1453.85</v>
      </c>
      <c r="P161" s="23">
        <f>Table2[[#This Row],[Sum of Old TB]]-Table2[[#This Row],[Sum of New TB]]</f>
        <v>0</v>
      </c>
    </row>
    <row r="162" customHeight="1" spans="2:16">
      <c r="B162" s="8" t="s">
        <v>296</v>
      </c>
      <c r="C162" s="9" t="s">
        <v>275</v>
      </c>
      <c r="D162" s="1">
        <v>2143</v>
      </c>
      <c r="E162" s="9"/>
      <c r="G162" s="1" t="s">
        <v>293</v>
      </c>
      <c r="H162" s="1" t="s">
        <v>125</v>
      </c>
      <c r="J162" s="2">
        <v>55</v>
      </c>
      <c r="L162" s="12" t="s">
        <v>287</v>
      </c>
      <c r="M162" s="9" t="s">
        <v>137</v>
      </c>
      <c r="N162" s="21">
        <v>2840.6</v>
      </c>
      <c r="O162" s="22">
        <v>2840.6</v>
      </c>
      <c r="P162" s="23">
        <f>Table2[[#This Row],[Sum of Old TB]]-Table2[[#This Row],[Sum of New TB]]</f>
        <v>0</v>
      </c>
    </row>
    <row r="163" customHeight="1" spans="2:16">
      <c r="B163" s="8" t="s">
        <v>297</v>
      </c>
      <c r="C163" s="9" t="s">
        <v>40</v>
      </c>
      <c r="D163" s="1">
        <v>41072.01</v>
      </c>
      <c r="E163" s="9"/>
      <c r="G163" s="1" t="s">
        <v>284</v>
      </c>
      <c r="H163" s="1" t="s">
        <v>129</v>
      </c>
      <c r="I163" s="2">
        <v>1750.04</v>
      </c>
      <c r="J163" s="2">
        <v>1750.04</v>
      </c>
      <c r="L163" s="12" t="s">
        <v>288</v>
      </c>
      <c r="M163" s="9" t="s">
        <v>139</v>
      </c>
      <c r="N163" s="21">
        <v>3867.11</v>
      </c>
      <c r="O163" s="22">
        <v>3867.11</v>
      </c>
      <c r="P163" s="23">
        <f>Table2[[#This Row],[Sum of Old TB]]-Table2[[#This Row],[Sum of New TB]]</f>
        <v>0</v>
      </c>
    </row>
    <row r="164" customHeight="1" spans="2:16">
      <c r="B164" s="8" t="s">
        <v>298</v>
      </c>
      <c r="C164" s="9" t="s">
        <v>42</v>
      </c>
      <c r="D164" s="1">
        <v>-1508.95</v>
      </c>
      <c r="E164" s="9"/>
      <c r="G164" s="1" t="s">
        <v>285</v>
      </c>
      <c r="H164" s="1" t="s">
        <v>286</v>
      </c>
      <c r="I164" s="2">
        <v>1453.85</v>
      </c>
      <c r="J164" s="2">
        <v>1453.85</v>
      </c>
      <c r="L164" s="12" t="s">
        <v>289</v>
      </c>
      <c r="M164" s="9" t="s">
        <v>177</v>
      </c>
      <c r="N164" s="21">
        <v>704.71</v>
      </c>
      <c r="O164" s="22">
        <v>704.71</v>
      </c>
      <c r="P164" s="23">
        <f>Table2[[#This Row],[Sum of Old TB]]-Table2[[#This Row],[Sum of New TB]]</f>
        <v>0</v>
      </c>
    </row>
    <row r="165" customHeight="1" spans="2:16">
      <c r="B165" s="8" t="s">
        <v>299</v>
      </c>
      <c r="C165" s="9" t="s">
        <v>228</v>
      </c>
      <c r="D165" s="1">
        <v>-39563.06</v>
      </c>
      <c r="E165" s="9"/>
      <c r="G165" s="1" t="s">
        <v>287</v>
      </c>
      <c r="H165" s="1" t="s">
        <v>137</v>
      </c>
      <c r="I165" s="2">
        <v>2840.6</v>
      </c>
      <c r="J165" s="2">
        <v>2840.6</v>
      </c>
      <c r="L165" s="12" t="s">
        <v>290</v>
      </c>
      <c r="M165" s="9" t="s">
        <v>40</v>
      </c>
      <c r="N165" s="21">
        <v>5036.61</v>
      </c>
      <c r="O165" s="22">
        <v>5036.61</v>
      </c>
      <c r="P165" s="23">
        <f>Table2[[#This Row],[Sum of Old TB]]-Table2[[#This Row],[Sum of New TB]]</f>
        <v>0</v>
      </c>
    </row>
    <row r="166" customHeight="1" spans="2:16">
      <c r="B166" s="8" t="s">
        <v>300</v>
      </c>
      <c r="C166" s="9" t="s">
        <v>69</v>
      </c>
      <c r="D166" s="1">
        <v>-43309.68</v>
      </c>
      <c r="E166" s="9"/>
      <c r="G166" s="1" t="s">
        <v>288</v>
      </c>
      <c r="H166" s="1" t="s">
        <v>139</v>
      </c>
      <c r="I166" s="2">
        <v>3867.11</v>
      </c>
      <c r="J166" s="2">
        <v>3867.11</v>
      </c>
      <c r="L166" s="12" t="s">
        <v>291</v>
      </c>
      <c r="M166" s="9" t="s">
        <v>42</v>
      </c>
      <c r="N166" s="21">
        <v>-900</v>
      </c>
      <c r="O166" s="22">
        <v>-900</v>
      </c>
      <c r="P166" s="23">
        <f>Table2[[#This Row],[Sum of Old TB]]-Table2[[#This Row],[Sum of New TB]]</f>
        <v>0</v>
      </c>
    </row>
    <row r="167" customHeight="1" spans="2:16">
      <c r="B167" s="8" t="s">
        <v>301</v>
      </c>
      <c r="C167" s="9" t="s">
        <v>302</v>
      </c>
      <c r="D167" s="1">
        <v>-30000</v>
      </c>
      <c r="E167" s="9"/>
      <c r="G167" s="1" t="s">
        <v>289</v>
      </c>
      <c r="H167" s="1" t="s">
        <v>177</v>
      </c>
      <c r="I167" s="2">
        <v>704.71</v>
      </c>
      <c r="J167" s="2">
        <v>704.71</v>
      </c>
      <c r="L167" s="12" t="s">
        <v>292</v>
      </c>
      <c r="M167" s="9" t="s">
        <v>228</v>
      </c>
      <c r="N167" s="21">
        <v>-4136.61</v>
      </c>
      <c r="O167" s="22">
        <v>-4136.61</v>
      </c>
      <c r="P167" s="23">
        <f>Table2[[#This Row],[Sum of Old TB]]-Table2[[#This Row],[Sum of New TB]]</f>
        <v>0</v>
      </c>
    </row>
    <row r="168" customHeight="1" spans="2:16">
      <c r="B168" s="8" t="s">
        <v>303</v>
      </c>
      <c r="C168" s="9" t="s">
        <v>107</v>
      </c>
      <c r="D168" s="1">
        <v>42058.75</v>
      </c>
      <c r="E168" s="9"/>
      <c r="G168" s="1" t="s">
        <v>290</v>
      </c>
      <c r="H168" s="1" t="s">
        <v>40</v>
      </c>
      <c r="I168" s="2">
        <v>5036.61</v>
      </c>
      <c r="J168" s="2">
        <v>5036.61</v>
      </c>
      <c r="L168" s="12" t="s">
        <v>294</v>
      </c>
      <c r="M168" s="9" t="s">
        <v>69</v>
      </c>
      <c r="N168" s="21">
        <v>-23388.77</v>
      </c>
      <c r="O168" s="22">
        <v>-23388.77</v>
      </c>
      <c r="P168" s="23">
        <f>Table2[[#This Row],[Sum of Old TB]]-Table2[[#This Row],[Sum of New TB]]</f>
        <v>0</v>
      </c>
    </row>
    <row r="169" customHeight="1" spans="2:16">
      <c r="B169" s="8" t="s">
        <v>304</v>
      </c>
      <c r="C169" s="9" t="s">
        <v>109</v>
      </c>
      <c r="D169" s="1">
        <v>3789.23</v>
      </c>
      <c r="E169" s="9"/>
      <c r="G169" s="1" t="s">
        <v>291</v>
      </c>
      <c r="H169" s="1" t="s">
        <v>42</v>
      </c>
      <c r="I169" s="2">
        <v>-900</v>
      </c>
      <c r="J169" s="2">
        <v>-900</v>
      </c>
      <c r="L169" s="12" t="s">
        <v>295</v>
      </c>
      <c r="M169" s="9" t="s">
        <v>270</v>
      </c>
      <c r="N169" s="21">
        <v>21245.77</v>
      </c>
      <c r="O169" s="22">
        <v>21245.77</v>
      </c>
      <c r="P169" s="23">
        <f>Table2[[#This Row],[Sum of Old TB]]-Table2[[#This Row],[Sum of New TB]]</f>
        <v>0</v>
      </c>
    </row>
    <row r="170" customHeight="1" spans="2:16">
      <c r="B170" s="8" t="s">
        <v>305</v>
      </c>
      <c r="C170" s="9" t="s">
        <v>111</v>
      </c>
      <c r="D170" s="1">
        <v>3249</v>
      </c>
      <c r="E170" s="9"/>
      <c r="G170" s="1" t="s">
        <v>292</v>
      </c>
      <c r="H170" s="1" t="s">
        <v>228</v>
      </c>
      <c r="I170" s="2">
        <v>-4136.61</v>
      </c>
      <c r="J170" s="2">
        <v>-4136.61</v>
      </c>
      <c r="L170" s="12" t="s">
        <v>296</v>
      </c>
      <c r="M170" s="9" t="s">
        <v>275</v>
      </c>
      <c r="N170" s="21">
        <v>2143</v>
      </c>
      <c r="O170" s="22">
        <v>2143</v>
      </c>
      <c r="P170" s="23">
        <f>Table2[[#This Row],[Sum of Old TB]]-Table2[[#This Row],[Sum of New TB]]</f>
        <v>0</v>
      </c>
    </row>
    <row r="171" customHeight="1" spans="2:16">
      <c r="B171" s="8" t="s">
        <v>306</v>
      </c>
      <c r="C171" s="9" t="s">
        <v>113</v>
      </c>
      <c r="D171" s="1">
        <v>1250</v>
      </c>
      <c r="E171" s="9"/>
      <c r="G171" s="1" t="s">
        <v>294</v>
      </c>
      <c r="H171" s="1" t="s">
        <v>69</v>
      </c>
      <c r="I171" s="2">
        <v>-23388.77</v>
      </c>
      <c r="J171" s="2">
        <v>-23388.77</v>
      </c>
      <c r="L171" s="12" t="s">
        <v>297</v>
      </c>
      <c r="M171" s="9" t="s">
        <v>40</v>
      </c>
      <c r="N171" s="21">
        <v>41072.01</v>
      </c>
      <c r="O171" s="22">
        <v>41072.01</v>
      </c>
      <c r="P171" s="23">
        <f>Table2[[#This Row],[Sum of Old TB]]-Table2[[#This Row],[Sum of New TB]]</f>
        <v>0</v>
      </c>
    </row>
    <row r="172" customHeight="1" spans="2:16">
      <c r="B172" s="8" t="s">
        <v>307</v>
      </c>
      <c r="C172" s="9" t="s">
        <v>129</v>
      </c>
      <c r="D172" s="1">
        <v>6045.82</v>
      </c>
      <c r="E172" s="9"/>
      <c r="G172" s="1" t="s">
        <v>295</v>
      </c>
      <c r="H172" s="1" t="s">
        <v>270</v>
      </c>
      <c r="I172" s="2">
        <v>21245.77</v>
      </c>
      <c r="J172" s="2">
        <v>21245.77</v>
      </c>
      <c r="L172" s="12" t="s">
        <v>298</v>
      </c>
      <c r="M172" s="9" t="s">
        <v>42</v>
      </c>
      <c r="N172" s="21">
        <v>-1508.95</v>
      </c>
      <c r="O172" s="22">
        <v>-1508.95</v>
      </c>
      <c r="P172" s="23">
        <f>Table2[[#This Row],[Sum of Old TB]]-Table2[[#This Row],[Sum of New TB]]</f>
        <v>0</v>
      </c>
    </row>
    <row r="173" customHeight="1" spans="2:16">
      <c r="B173" s="8" t="s">
        <v>308</v>
      </c>
      <c r="C173" s="9" t="s">
        <v>309</v>
      </c>
      <c r="D173" s="1">
        <v>99.58</v>
      </c>
      <c r="E173" s="9"/>
      <c r="G173" s="1" t="s">
        <v>296</v>
      </c>
      <c r="H173" s="1" t="s">
        <v>275</v>
      </c>
      <c r="I173" s="2">
        <v>2143</v>
      </c>
      <c r="J173" s="2">
        <v>2143</v>
      </c>
      <c r="L173" s="12" t="s">
        <v>299</v>
      </c>
      <c r="M173" s="9" t="s">
        <v>228</v>
      </c>
      <c r="N173" s="21">
        <v>-39563.06</v>
      </c>
      <c r="O173" s="22">
        <v>-39563.06</v>
      </c>
      <c r="P173" s="23">
        <f>Table2[[#This Row],[Sum of Old TB]]-Table2[[#This Row],[Sum of New TB]]</f>
        <v>0</v>
      </c>
    </row>
    <row r="174" customHeight="1" spans="2:16">
      <c r="B174" s="8" t="s">
        <v>310</v>
      </c>
      <c r="C174" s="9" t="s">
        <v>286</v>
      </c>
      <c r="D174" s="1">
        <v>17.63</v>
      </c>
      <c r="E174" s="9"/>
      <c r="G174" s="1" t="s">
        <v>297</v>
      </c>
      <c r="H174" s="1" t="s">
        <v>40</v>
      </c>
      <c r="I174" s="2">
        <v>41072.01</v>
      </c>
      <c r="J174" s="2">
        <v>41072.01</v>
      </c>
      <c r="L174" s="12" t="s">
        <v>300</v>
      </c>
      <c r="M174" s="9" t="s">
        <v>69</v>
      </c>
      <c r="N174" s="21">
        <v>-43309.68</v>
      </c>
      <c r="O174" s="22">
        <v>-43309.68</v>
      </c>
      <c r="P174" s="23">
        <f>Table2[[#This Row],[Sum of Old TB]]-Table2[[#This Row],[Sum of New TB]]</f>
        <v>0</v>
      </c>
    </row>
    <row r="175" customHeight="1" spans="2:16">
      <c r="B175" s="8" t="s">
        <v>311</v>
      </c>
      <c r="C175" s="9" t="s">
        <v>312</v>
      </c>
      <c r="D175" s="1">
        <v>312.51</v>
      </c>
      <c r="E175" s="9"/>
      <c r="G175" s="1" t="s">
        <v>298</v>
      </c>
      <c r="H175" s="1" t="s">
        <v>42</v>
      </c>
      <c r="I175" s="2">
        <v>-1508.95</v>
      </c>
      <c r="J175" s="2">
        <v>-1508.95</v>
      </c>
      <c r="L175" s="12" t="s">
        <v>301</v>
      </c>
      <c r="M175" s="9" t="s">
        <v>302</v>
      </c>
      <c r="N175" s="21">
        <v>-30000</v>
      </c>
      <c r="O175" s="22">
        <v>-30000</v>
      </c>
      <c r="P175" s="23">
        <f>Table2[[#This Row],[Sum of Old TB]]-Table2[[#This Row],[Sum of New TB]]</f>
        <v>0</v>
      </c>
    </row>
    <row r="176" customHeight="1" spans="2:16">
      <c r="B176" s="8" t="s">
        <v>313</v>
      </c>
      <c r="C176" s="9" t="s">
        <v>153</v>
      </c>
      <c r="D176" s="1">
        <v>4063.3</v>
      </c>
      <c r="E176" s="9"/>
      <c r="G176" s="1" t="s">
        <v>299</v>
      </c>
      <c r="H176" s="1" t="s">
        <v>228</v>
      </c>
      <c r="I176" s="2">
        <v>-39563.06</v>
      </c>
      <c r="J176" s="2">
        <v>-39563.06</v>
      </c>
      <c r="L176" s="12" t="s">
        <v>303</v>
      </c>
      <c r="M176" s="9" t="s">
        <v>107</v>
      </c>
      <c r="N176" s="21">
        <v>42058.75</v>
      </c>
      <c r="O176" s="22">
        <v>42058.75</v>
      </c>
      <c r="P176" s="23">
        <f>Table2[[#This Row],[Sum of Old TB]]-Table2[[#This Row],[Sum of New TB]]</f>
        <v>0</v>
      </c>
    </row>
    <row r="177" customHeight="1" spans="2:16">
      <c r="B177" s="8" t="s">
        <v>314</v>
      </c>
      <c r="C177" s="9" t="s">
        <v>165</v>
      </c>
      <c r="D177" s="1">
        <v>139.48</v>
      </c>
      <c r="E177" s="9"/>
      <c r="G177" s="1" t="s">
        <v>300</v>
      </c>
      <c r="H177" s="1" t="s">
        <v>69</v>
      </c>
      <c r="I177" s="2">
        <v>-43309.68</v>
      </c>
      <c r="J177" s="2">
        <v>-43309.68</v>
      </c>
      <c r="L177" s="12" t="s">
        <v>304</v>
      </c>
      <c r="M177" s="9" t="s">
        <v>109</v>
      </c>
      <c r="N177" s="21">
        <v>3789.23</v>
      </c>
      <c r="O177" s="22">
        <v>3789.23</v>
      </c>
      <c r="P177" s="23">
        <f>Table2[[#This Row],[Sum of Old TB]]-Table2[[#This Row],[Sum of New TB]]</f>
        <v>0</v>
      </c>
    </row>
    <row r="178" customHeight="1" spans="2:16">
      <c r="B178" s="8" t="s">
        <v>315</v>
      </c>
      <c r="C178" s="9" t="s">
        <v>171</v>
      </c>
      <c r="D178" s="1">
        <v>132</v>
      </c>
      <c r="E178" s="9"/>
      <c r="G178" s="1" t="s">
        <v>301</v>
      </c>
      <c r="H178" s="1" t="s">
        <v>302</v>
      </c>
      <c r="I178" s="2">
        <v>-30000</v>
      </c>
      <c r="J178" s="2">
        <v>-30000</v>
      </c>
      <c r="L178" s="12" t="s">
        <v>305</v>
      </c>
      <c r="M178" s="9" t="s">
        <v>111</v>
      </c>
      <c r="N178" s="21">
        <v>3249</v>
      </c>
      <c r="O178" s="22">
        <v>3249</v>
      </c>
      <c r="P178" s="23">
        <f>Table2[[#This Row],[Sum of Old TB]]-Table2[[#This Row],[Sum of New TB]]</f>
        <v>0</v>
      </c>
    </row>
    <row r="179" customHeight="1" spans="2:16">
      <c r="B179" s="8" t="s">
        <v>316</v>
      </c>
      <c r="C179" s="9" t="s">
        <v>175</v>
      </c>
      <c r="D179" s="1">
        <v>-246.62</v>
      </c>
      <c r="E179" s="9"/>
      <c r="G179" s="1" t="s">
        <v>303</v>
      </c>
      <c r="H179" s="1" t="s">
        <v>107</v>
      </c>
      <c r="I179" s="2">
        <v>42058.75</v>
      </c>
      <c r="J179" s="2">
        <v>42058.75</v>
      </c>
      <c r="L179" s="12" t="s">
        <v>306</v>
      </c>
      <c r="M179" s="9" t="s">
        <v>113</v>
      </c>
      <c r="N179" s="21">
        <v>1250</v>
      </c>
      <c r="O179" s="22">
        <v>1250</v>
      </c>
      <c r="P179" s="23">
        <f>Table2[[#This Row],[Sum of Old TB]]-Table2[[#This Row],[Sum of New TB]]</f>
        <v>0</v>
      </c>
    </row>
    <row r="180" customHeight="1" spans="2:16">
      <c r="B180" s="8" t="s">
        <v>317</v>
      </c>
      <c r="C180" s="9" t="s">
        <v>177</v>
      </c>
      <c r="D180" s="1">
        <v>448</v>
      </c>
      <c r="E180" s="9"/>
      <c r="G180" s="1" t="s">
        <v>304</v>
      </c>
      <c r="H180" s="1" t="s">
        <v>109</v>
      </c>
      <c r="I180" s="2">
        <v>3789.23</v>
      </c>
      <c r="J180" s="2">
        <v>3789.23</v>
      </c>
      <c r="L180" s="12" t="s">
        <v>307</v>
      </c>
      <c r="M180" s="9" t="s">
        <v>129</v>
      </c>
      <c r="N180" s="21">
        <v>6045.82</v>
      </c>
      <c r="O180" s="22">
        <v>6045.82</v>
      </c>
      <c r="P180" s="23">
        <f>Table2[[#This Row],[Sum of Old TB]]-Table2[[#This Row],[Sum of New TB]]</f>
        <v>0</v>
      </c>
    </row>
    <row r="181" customHeight="1" spans="2:16">
      <c r="B181" s="8" t="s">
        <v>318</v>
      </c>
      <c r="C181" s="9" t="s">
        <v>179</v>
      </c>
      <c r="D181" s="1">
        <v>90.91</v>
      </c>
      <c r="E181" s="9"/>
      <c r="G181" s="1" t="s">
        <v>305</v>
      </c>
      <c r="H181" s="1" t="s">
        <v>111</v>
      </c>
      <c r="I181" s="2">
        <v>3249</v>
      </c>
      <c r="J181" s="2">
        <v>3249</v>
      </c>
      <c r="L181" s="12" t="s">
        <v>308</v>
      </c>
      <c r="M181" s="9" t="s">
        <v>309</v>
      </c>
      <c r="N181" s="21">
        <v>99.58</v>
      </c>
      <c r="O181" s="22">
        <v>99.58</v>
      </c>
      <c r="P181" s="23">
        <f>Table2[[#This Row],[Sum of Old TB]]-Table2[[#This Row],[Sum of New TB]]</f>
        <v>0</v>
      </c>
    </row>
    <row r="182" customHeight="1" spans="2:16">
      <c r="B182" s="8" t="s">
        <v>319</v>
      </c>
      <c r="C182" s="9" t="s">
        <v>185</v>
      </c>
      <c r="D182" s="1">
        <v>10900.09</v>
      </c>
      <c r="E182" s="9"/>
      <c r="G182" s="1" t="s">
        <v>306</v>
      </c>
      <c r="H182" s="1" t="s">
        <v>113</v>
      </c>
      <c r="I182" s="2">
        <v>1250</v>
      </c>
      <c r="J182" s="2">
        <v>1250</v>
      </c>
      <c r="L182" s="12" t="s">
        <v>310</v>
      </c>
      <c r="M182" s="9" t="s">
        <v>286</v>
      </c>
      <c r="N182" s="21">
        <v>17.63</v>
      </c>
      <c r="O182" s="22">
        <v>17.63</v>
      </c>
      <c r="P182" s="23">
        <f>Table2[[#This Row],[Sum of Old TB]]-Table2[[#This Row],[Sum of New TB]]</f>
        <v>0</v>
      </c>
    </row>
    <row r="183" customHeight="1" spans="2:16">
      <c r="B183" s="8" t="s">
        <v>320</v>
      </c>
      <c r="C183" s="9" t="s">
        <v>187</v>
      </c>
      <c r="D183" s="1">
        <v>960</v>
      </c>
      <c r="E183" s="9"/>
      <c r="G183" s="1" t="s">
        <v>307</v>
      </c>
      <c r="H183" s="1" t="s">
        <v>129</v>
      </c>
      <c r="I183" s="2">
        <v>6045.82</v>
      </c>
      <c r="J183" s="2">
        <v>6045.82</v>
      </c>
      <c r="L183" s="12" t="s">
        <v>311</v>
      </c>
      <c r="M183" s="9" t="s">
        <v>312</v>
      </c>
      <c r="N183" s="21">
        <v>312.51</v>
      </c>
      <c r="O183" s="22">
        <v>312.51</v>
      </c>
      <c r="P183" s="23">
        <f>Table2[[#This Row],[Sum of Old TB]]-Table2[[#This Row],[Sum of New TB]]</f>
        <v>0</v>
      </c>
    </row>
    <row r="184" customHeight="1" spans="2:16">
      <c r="B184" s="8" t="s">
        <v>321</v>
      </c>
      <c r="C184" s="9" t="s">
        <v>277</v>
      </c>
      <c r="D184" s="1">
        <v>44329.69</v>
      </c>
      <c r="E184" s="9"/>
      <c r="G184" s="1" t="s">
        <v>308</v>
      </c>
      <c r="H184" s="1" t="s">
        <v>309</v>
      </c>
      <c r="I184" s="2">
        <v>99.58</v>
      </c>
      <c r="J184" s="2">
        <v>99.58</v>
      </c>
      <c r="L184" s="12" t="s">
        <v>313</v>
      </c>
      <c r="M184" s="9" t="s">
        <v>153</v>
      </c>
      <c r="N184" s="21">
        <v>4063.3</v>
      </c>
      <c r="O184" s="22">
        <v>4063.3</v>
      </c>
      <c r="P184" s="23">
        <f>Table2[[#This Row],[Sum of Old TB]]-Table2[[#This Row],[Sum of New TB]]</f>
        <v>0</v>
      </c>
    </row>
    <row r="185" customHeight="1" spans="2:16">
      <c r="B185" s="8" t="s">
        <v>322</v>
      </c>
      <c r="C185" s="9" t="s">
        <v>40</v>
      </c>
      <c r="D185" s="1">
        <v>-44329.69</v>
      </c>
      <c r="E185" s="9"/>
      <c r="G185" s="1" t="s">
        <v>310</v>
      </c>
      <c r="H185" s="1" t="s">
        <v>286</v>
      </c>
      <c r="I185" s="2">
        <v>17.63</v>
      </c>
      <c r="J185" s="2">
        <v>17.63</v>
      </c>
      <c r="L185" s="12" t="s">
        <v>314</v>
      </c>
      <c r="M185" s="9" t="s">
        <v>165</v>
      </c>
      <c r="N185" s="21">
        <v>139.48</v>
      </c>
      <c r="O185" s="22">
        <v>139.48</v>
      </c>
      <c r="P185" s="23">
        <f>Table2[[#This Row],[Sum of Old TB]]-Table2[[#This Row],[Sum of New TB]]</f>
        <v>0</v>
      </c>
    </row>
    <row r="186" customHeight="1" spans="2:16">
      <c r="B186" s="8" t="s">
        <v>323</v>
      </c>
      <c r="C186" s="9" t="s">
        <v>69</v>
      </c>
      <c r="D186" s="1">
        <v>-83404.76</v>
      </c>
      <c r="E186" s="9"/>
      <c r="G186" s="1" t="s">
        <v>311</v>
      </c>
      <c r="H186" s="1" t="s">
        <v>312</v>
      </c>
      <c r="I186" s="2">
        <v>312.51</v>
      </c>
      <c r="J186" s="2">
        <v>312.51</v>
      </c>
      <c r="L186" s="12" t="s">
        <v>315</v>
      </c>
      <c r="M186" s="9" t="s">
        <v>171</v>
      </c>
      <c r="N186" s="21">
        <v>132</v>
      </c>
      <c r="O186" s="22">
        <v>132</v>
      </c>
      <c r="P186" s="23">
        <f>Table2[[#This Row],[Sum of Old TB]]-Table2[[#This Row],[Sum of New TB]]</f>
        <v>0</v>
      </c>
    </row>
    <row r="187" customHeight="1" spans="2:16">
      <c r="B187" s="8" t="s">
        <v>324</v>
      </c>
      <c r="C187" s="9" t="s">
        <v>107</v>
      </c>
      <c r="D187" s="1">
        <v>59385.97</v>
      </c>
      <c r="E187" s="9"/>
      <c r="G187" s="1" t="s">
        <v>313</v>
      </c>
      <c r="H187" s="1" t="s">
        <v>153</v>
      </c>
      <c r="I187" s="2">
        <v>4063.3</v>
      </c>
      <c r="J187" s="2">
        <v>4063.3</v>
      </c>
      <c r="L187" s="12" t="s">
        <v>316</v>
      </c>
      <c r="M187" s="9" t="s">
        <v>175</v>
      </c>
      <c r="N187" s="21">
        <v>-246.62</v>
      </c>
      <c r="O187" s="22">
        <v>-246.62</v>
      </c>
      <c r="P187" s="23">
        <f>Table2[[#This Row],[Sum of Old TB]]-Table2[[#This Row],[Sum of New TB]]</f>
        <v>0</v>
      </c>
    </row>
    <row r="188" customHeight="1" spans="2:16">
      <c r="B188" s="8" t="s">
        <v>325</v>
      </c>
      <c r="C188" s="9" t="s">
        <v>109</v>
      </c>
      <c r="D188" s="1">
        <v>5001.49</v>
      </c>
      <c r="E188" s="9"/>
      <c r="G188" s="1" t="s">
        <v>314</v>
      </c>
      <c r="H188" s="1" t="s">
        <v>165</v>
      </c>
      <c r="I188" s="2">
        <v>139.48</v>
      </c>
      <c r="J188" s="2">
        <v>139.48</v>
      </c>
      <c r="L188" s="12" t="s">
        <v>317</v>
      </c>
      <c r="M188" s="9" t="s">
        <v>177</v>
      </c>
      <c r="N188" s="21">
        <v>448</v>
      </c>
      <c r="O188" s="22">
        <v>448</v>
      </c>
      <c r="P188" s="23">
        <f>Table2[[#This Row],[Sum of Old TB]]-Table2[[#This Row],[Sum of New TB]]</f>
        <v>0</v>
      </c>
    </row>
    <row r="189" customHeight="1" spans="2:16">
      <c r="B189" s="8" t="s">
        <v>326</v>
      </c>
      <c r="C189" s="9" t="s">
        <v>111</v>
      </c>
      <c r="D189" s="1">
        <v>3412.46</v>
      </c>
      <c r="E189" s="9"/>
      <c r="G189" s="1" t="s">
        <v>315</v>
      </c>
      <c r="H189" s="1" t="s">
        <v>171</v>
      </c>
      <c r="I189" s="2">
        <v>132</v>
      </c>
      <c r="J189" s="2">
        <v>132</v>
      </c>
      <c r="L189" s="12" t="s">
        <v>318</v>
      </c>
      <c r="M189" s="9" t="s">
        <v>179</v>
      </c>
      <c r="N189" s="21">
        <v>90.91</v>
      </c>
      <c r="O189" s="22">
        <v>90.91</v>
      </c>
      <c r="P189" s="23">
        <f>Table2[[#This Row],[Sum of Old TB]]-Table2[[#This Row],[Sum of New TB]]</f>
        <v>0</v>
      </c>
    </row>
    <row r="190" customHeight="1" spans="2:16">
      <c r="B190" s="8" t="s">
        <v>327</v>
      </c>
      <c r="C190" s="9" t="s">
        <v>129</v>
      </c>
      <c r="D190" s="1">
        <v>670</v>
      </c>
      <c r="E190" s="9"/>
      <c r="G190" s="1" t="s">
        <v>316</v>
      </c>
      <c r="H190" s="1" t="s">
        <v>175</v>
      </c>
      <c r="I190" s="2">
        <v>-246.62</v>
      </c>
      <c r="J190" s="2">
        <v>-246.62</v>
      </c>
      <c r="L190" s="12" t="s">
        <v>319</v>
      </c>
      <c r="M190" s="9" t="s">
        <v>185</v>
      </c>
      <c r="N190" s="21">
        <v>10900.09</v>
      </c>
      <c r="O190" s="22">
        <v>10900.09</v>
      </c>
      <c r="P190" s="23">
        <f>Table2[[#This Row],[Sum of Old TB]]-Table2[[#This Row],[Sum of New TB]]</f>
        <v>0</v>
      </c>
    </row>
    <row r="191" customHeight="1" spans="2:16">
      <c r="B191" s="8" t="s">
        <v>328</v>
      </c>
      <c r="C191" s="9" t="s">
        <v>143</v>
      </c>
      <c r="D191" s="1">
        <v>225</v>
      </c>
      <c r="E191" s="9"/>
      <c r="G191" s="1" t="s">
        <v>317</v>
      </c>
      <c r="H191" s="1" t="s">
        <v>177</v>
      </c>
      <c r="I191" s="2">
        <v>448</v>
      </c>
      <c r="J191" s="2">
        <v>448</v>
      </c>
      <c r="L191" s="12" t="s">
        <v>320</v>
      </c>
      <c r="M191" s="9" t="s">
        <v>187</v>
      </c>
      <c r="N191" s="21">
        <v>960</v>
      </c>
      <c r="O191" s="22">
        <v>960</v>
      </c>
      <c r="P191" s="23">
        <f>Table2[[#This Row],[Sum of Old TB]]-Table2[[#This Row],[Sum of New TB]]</f>
        <v>0</v>
      </c>
    </row>
    <row r="192" customHeight="1" spans="2:16">
      <c r="B192" s="8" t="s">
        <v>329</v>
      </c>
      <c r="C192" s="9" t="s">
        <v>147</v>
      </c>
      <c r="D192" s="1">
        <v>1350</v>
      </c>
      <c r="E192" s="9"/>
      <c r="G192" s="1" t="s">
        <v>318</v>
      </c>
      <c r="H192" s="1" t="s">
        <v>179</v>
      </c>
      <c r="I192" s="2">
        <v>90.91</v>
      </c>
      <c r="J192" s="2">
        <v>90.91</v>
      </c>
      <c r="L192" s="12" t="s">
        <v>321</v>
      </c>
      <c r="M192" s="9" t="s">
        <v>277</v>
      </c>
      <c r="N192" s="21">
        <v>44329.69</v>
      </c>
      <c r="O192" s="22">
        <v>44329.69</v>
      </c>
      <c r="P192" s="23">
        <f>Table2[[#This Row],[Sum of Old TB]]-Table2[[#This Row],[Sum of New TB]]</f>
        <v>0</v>
      </c>
    </row>
    <row r="193" customHeight="1" spans="2:16">
      <c r="B193" s="8" t="s">
        <v>330</v>
      </c>
      <c r="C193" s="9" t="s">
        <v>153</v>
      </c>
      <c r="D193" s="1">
        <v>1800</v>
      </c>
      <c r="E193" s="9"/>
      <c r="G193" s="1" t="s">
        <v>319</v>
      </c>
      <c r="H193" s="1" t="s">
        <v>185</v>
      </c>
      <c r="I193" s="2">
        <v>10900.09</v>
      </c>
      <c r="J193" s="2">
        <v>10900.09</v>
      </c>
      <c r="L193" s="12" t="s">
        <v>322</v>
      </c>
      <c r="M193" s="9" t="s">
        <v>40</v>
      </c>
      <c r="N193" s="21">
        <v>-44329.69</v>
      </c>
      <c r="O193" s="22">
        <v>-44329.69</v>
      </c>
      <c r="P193" s="23">
        <f>Table2[[#This Row],[Sum of Old TB]]-Table2[[#This Row],[Sum of New TB]]</f>
        <v>0</v>
      </c>
    </row>
    <row r="194" customHeight="1" spans="2:16">
      <c r="B194" s="8" t="s">
        <v>331</v>
      </c>
      <c r="C194" s="9" t="s">
        <v>275</v>
      </c>
      <c r="D194" s="1">
        <v>11559.84</v>
      </c>
      <c r="E194" s="9"/>
      <c r="G194" s="1" t="s">
        <v>320</v>
      </c>
      <c r="H194" s="1" t="s">
        <v>187</v>
      </c>
      <c r="I194" s="2">
        <v>960</v>
      </c>
      <c r="J194" s="2">
        <v>960</v>
      </c>
      <c r="L194" s="12" t="s">
        <v>323</v>
      </c>
      <c r="M194" s="9" t="s">
        <v>69</v>
      </c>
      <c r="N194" s="21">
        <v>-83404.76</v>
      </c>
      <c r="O194" s="22">
        <v>-83404.76</v>
      </c>
      <c r="P194" s="23">
        <f>Table2[[#This Row],[Sum of Old TB]]-Table2[[#This Row],[Sum of New TB]]</f>
        <v>0</v>
      </c>
    </row>
    <row r="195" customHeight="1" spans="2:16">
      <c r="B195" s="8" t="s">
        <v>332</v>
      </c>
      <c r="C195" s="9" t="s">
        <v>277</v>
      </c>
      <c r="D195" s="1">
        <v>34432.02</v>
      </c>
      <c r="E195" s="9"/>
      <c r="G195" s="1" t="s">
        <v>321</v>
      </c>
      <c r="H195" s="1" t="s">
        <v>277</v>
      </c>
      <c r="I195" s="2">
        <v>44329.69</v>
      </c>
      <c r="J195" s="2">
        <v>44329.69</v>
      </c>
      <c r="L195" s="12" t="s">
        <v>324</v>
      </c>
      <c r="M195" s="9" t="s">
        <v>107</v>
      </c>
      <c r="N195" s="21">
        <v>59385.97</v>
      </c>
      <c r="O195" s="22">
        <v>59385.97</v>
      </c>
      <c r="P195" s="23">
        <f>Table2[[#This Row],[Sum of Old TB]]-Table2[[#This Row],[Sum of New TB]]</f>
        <v>0</v>
      </c>
    </row>
    <row r="196" customHeight="1" spans="2:16">
      <c r="B196" s="8" t="s">
        <v>333</v>
      </c>
      <c r="C196" s="9" t="s">
        <v>40</v>
      </c>
      <c r="D196" s="1">
        <v>-34329.38</v>
      </c>
      <c r="E196" s="9"/>
      <c r="G196" s="1" t="s">
        <v>322</v>
      </c>
      <c r="H196" s="1" t="s">
        <v>40</v>
      </c>
      <c r="I196" s="2">
        <v>-44329.69</v>
      </c>
      <c r="J196" s="2">
        <v>-44329.69</v>
      </c>
      <c r="L196" s="12" t="s">
        <v>325</v>
      </c>
      <c r="M196" s="9" t="s">
        <v>109</v>
      </c>
      <c r="N196" s="21">
        <v>5001.49</v>
      </c>
      <c r="O196" s="22">
        <v>5001.49</v>
      </c>
      <c r="P196" s="23">
        <f>Table2[[#This Row],[Sum of Old TB]]-Table2[[#This Row],[Sum of New TB]]</f>
        <v>0</v>
      </c>
    </row>
    <row r="197" customHeight="1" spans="2:16">
      <c r="B197" s="8" t="s">
        <v>334</v>
      </c>
      <c r="C197" s="9" t="s">
        <v>42</v>
      </c>
      <c r="D197" s="1">
        <v>-102.64</v>
      </c>
      <c r="E197" s="9"/>
      <c r="G197" s="1" t="s">
        <v>323</v>
      </c>
      <c r="H197" s="1" t="s">
        <v>69</v>
      </c>
      <c r="I197" s="2">
        <v>-83404.76</v>
      </c>
      <c r="J197" s="2">
        <v>-83404.76</v>
      </c>
      <c r="L197" s="12" t="s">
        <v>326</v>
      </c>
      <c r="M197" s="9" t="s">
        <v>111</v>
      </c>
      <c r="N197" s="21">
        <v>3412.46</v>
      </c>
      <c r="O197" s="22">
        <v>3412.46</v>
      </c>
      <c r="P197" s="23">
        <f>Table2[[#This Row],[Sum of Old TB]]-Table2[[#This Row],[Sum of New TB]]</f>
        <v>0</v>
      </c>
    </row>
    <row r="198" customHeight="1" spans="2:16">
      <c r="B198" s="8" t="s">
        <v>335</v>
      </c>
      <c r="C198" s="9" t="s">
        <v>69</v>
      </c>
      <c r="D198" s="1">
        <v>-86947.91</v>
      </c>
      <c r="E198" s="9"/>
      <c r="G198" s="1" t="s">
        <v>324</v>
      </c>
      <c r="H198" s="1" t="s">
        <v>107</v>
      </c>
      <c r="I198" s="2">
        <v>59385.97</v>
      </c>
      <c r="J198" s="2">
        <v>59385.97</v>
      </c>
      <c r="L198" s="12" t="s">
        <v>327</v>
      </c>
      <c r="M198" s="9" t="s">
        <v>129</v>
      </c>
      <c r="N198" s="21">
        <v>670</v>
      </c>
      <c r="O198" s="22">
        <v>670</v>
      </c>
      <c r="P198" s="23">
        <f>Table2[[#This Row],[Sum of Old TB]]-Table2[[#This Row],[Sum of New TB]]</f>
        <v>0</v>
      </c>
    </row>
    <row r="199" customHeight="1" spans="2:16">
      <c r="B199" s="8" t="s">
        <v>336</v>
      </c>
      <c r="C199" s="9" t="s">
        <v>107</v>
      </c>
      <c r="D199" s="1">
        <v>49107.92</v>
      </c>
      <c r="E199" s="9"/>
      <c r="G199" s="1" t="s">
        <v>325</v>
      </c>
      <c r="H199" s="1" t="s">
        <v>109</v>
      </c>
      <c r="I199" s="2">
        <v>5001.49</v>
      </c>
      <c r="J199" s="2">
        <v>5001.49</v>
      </c>
      <c r="L199" s="12" t="s">
        <v>328</v>
      </c>
      <c r="M199" s="9" t="s">
        <v>143</v>
      </c>
      <c r="N199" s="21">
        <v>225</v>
      </c>
      <c r="O199" s="22">
        <v>225</v>
      </c>
      <c r="P199" s="23">
        <f>Table2[[#This Row],[Sum of Old TB]]-Table2[[#This Row],[Sum of New TB]]</f>
        <v>0</v>
      </c>
    </row>
    <row r="200" customHeight="1" spans="2:16">
      <c r="B200" s="8" t="s">
        <v>337</v>
      </c>
      <c r="C200" s="9" t="s">
        <v>109</v>
      </c>
      <c r="D200" s="1">
        <v>4148.65</v>
      </c>
      <c r="E200" s="9"/>
      <c r="G200" s="1" t="s">
        <v>326</v>
      </c>
      <c r="H200" s="1" t="s">
        <v>111</v>
      </c>
      <c r="I200" s="2">
        <v>3412.46</v>
      </c>
      <c r="J200" s="2">
        <v>3412.46</v>
      </c>
      <c r="L200" s="12" t="s">
        <v>329</v>
      </c>
      <c r="M200" s="9" t="s">
        <v>147</v>
      </c>
      <c r="N200" s="21">
        <v>1350</v>
      </c>
      <c r="O200" s="22">
        <v>1350</v>
      </c>
      <c r="P200" s="23">
        <f>Table2[[#This Row],[Sum of Old TB]]-Table2[[#This Row],[Sum of New TB]]</f>
        <v>0</v>
      </c>
    </row>
    <row r="201" customHeight="1" spans="2:16">
      <c r="B201" s="8" t="s">
        <v>338</v>
      </c>
      <c r="C201" s="9" t="s">
        <v>111</v>
      </c>
      <c r="D201" s="1">
        <v>6397.47</v>
      </c>
      <c r="E201" s="9"/>
      <c r="G201" s="1" t="s">
        <v>327</v>
      </c>
      <c r="H201" s="1" t="s">
        <v>129</v>
      </c>
      <c r="I201" s="2">
        <v>670</v>
      </c>
      <c r="J201" s="2">
        <v>670</v>
      </c>
      <c r="L201" s="12" t="s">
        <v>330</v>
      </c>
      <c r="M201" s="9" t="s">
        <v>153</v>
      </c>
      <c r="N201" s="21">
        <v>1800</v>
      </c>
      <c r="O201" s="22">
        <v>1800</v>
      </c>
      <c r="P201" s="23">
        <f>Table2[[#This Row],[Sum of Old TB]]-Table2[[#This Row],[Sum of New TB]]</f>
        <v>0</v>
      </c>
    </row>
    <row r="202" customHeight="1" spans="2:16">
      <c r="B202" s="8" t="s">
        <v>339</v>
      </c>
      <c r="C202" s="9" t="s">
        <v>129</v>
      </c>
      <c r="D202" s="1">
        <v>1298.31</v>
      </c>
      <c r="E202" s="9"/>
      <c r="G202" s="1" t="s">
        <v>328</v>
      </c>
      <c r="H202" s="1" t="s">
        <v>143</v>
      </c>
      <c r="I202" s="2">
        <v>225</v>
      </c>
      <c r="J202" s="2">
        <v>225</v>
      </c>
      <c r="L202" s="12" t="s">
        <v>331</v>
      </c>
      <c r="M202" s="9" t="s">
        <v>275</v>
      </c>
      <c r="N202" s="21">
        <v>11559.84</v>
      </c>
      <c r="O202" s="22">
        <v>11559.84</v>
      </c>
      <c r="P202" s="23">
        <f>Table2[[#This Row],[Sum of Old TB]]-Table2[[#This Row],[Sum of New TB]]</f>
        <v>0</v>
      </c>
    </row>
    <row r="203" customHeight="1" spans="2:16">
      <c r="B203" s="8" t="s">
        <v>340</v>
      </c>
      <c r="C203" s="9" t="s">
        <v>131</v>
      </c>
      <c r="D203" s="1">
        <v>828</v>
      </c>
      <c r="E203" s="9"/>
      <c r="G203" s="1" t="s">
        <v>329</v>
      </c>
      <c r="H203" s="1" t="s">
        <v>147</v>
      </c>
      <c r="I203" s="2">
        <v>1350</v>
      </c>
      <c r="J203" s="2">
        <v>1350</v>
      </c>
      <c r="L203" s="12" t="s">
        <v>332</v>
      </c>
      <c r="M203" s="9" t="s">
        <v>277</v>
      </c>
      <c r="N203" s="21">
        <v>34432.02</v>
      </c>
      <c r="O203" s="22">
        <v>34432.02</v>
      </c>
      <c r="P203" s="23">
        <f>Table2[[#This Row],[Sum of Old TB]]-Table2[[#This Row],[Sum of New TB]]</f>
        <v>0</v>
      </c>
    </row>
    <row r="204" customHeight="1" spans="2:16">
      <c r="B204" s="8" t="s">
        <v>341</v>
      </c>
      <c r="C204" s="9" t="s">
        <v>143</v>
      </c>
      <c r="D204" s="1">
        <v>230.1</v>
      </c>
      <c r="E204" s="9"/>
      <c r="G204" s="1" t="s">
        <v>330</v>
      </c>
      <c r="H204" s="1" t="s">
        <v>153</v>
      </c>
      <c r="I204" s="2">
        <v>1800</v>
      </c>
      <c r="J204" s="2">
        <v>1800</v>
      </c>
      <c r="L204" s="12" t="s">
        <v>333</v>
      </c>
      <c r="M204" s="9" t="s">
        <v>40</v>
      </c>
      <c r="N204" s="21">
        <v>-34329.38</v>
      </c>
      <c r="O204" s="22">
        <v>-34329.38</v>
      </c>
      <c r="P204" s="23">
        <f>Table2[[#This Row],[Sum of Old TB]]-Table2[[#This Row],[Sum of New TB]]</f>
        <v>0</v>
      </c>
    </row>
    <row r="205" customHeight="1" spans="2:16">
      <c r="B205" s="8" t="s">
        <v>342</v>
      </c>
      <c r="C205" s="9" t="s">
        <v>147</v>
      </c>
      <c r="D205" s="1">
        <v>1893.58</v>
      </c>
      <c r="E205" s="9"/>
      <c r="G205" s="1" t="s">
        <v>331</v>
      </c>
      <c r="H205" s="1" t="s">
        <v>275</v>
      </c>
      <c r="I205" s="2">
        <v>11559.84</v>
      </c>
      <c r="J205" s="2">
        <v>11559.84</v>
      </c>
      <c r="L205" s="12" t="s">
        <v>334</v>
      </c>
      <c r="M205" s="9" t="s">
        <v>42</v>
      </c>
      <c r="N205" s="21">
        <v>-102.64</v>
      </c>
      <c r="O205" s="22">
        <v>-102.64</v>
      </c>
      <c r="P205" s="23">
        <f>Table2[[#This Row],[Sum of Old TB]]-Table2[[#This Row],[Sum of New TB]]</f>
        <v>0</v>
      </c>
    </row>
    <row r="206" customHeight="1" spans="2:16">
      <c r="B206" s="8" t="s">
        <v>343</v>
      </c>
      <c r="C206" s="9" t="s">
        <v>153</v>
      </c>
      <c r="D206" s="1">
        <v>2585.74</v>
      </c>
      <c r="E206" s="9"/>
      <c r="G206" s="1" t="s">
        <v>332</v>
      </c>
      <c r="H206" s="1" t="s">
        <v>277</v>
      </c>
      <c r="I206" s="2">
        <v>34432.02</v>
      </c>
      <c r="J206" s="2">
        <v>34432.02</v>
      </c>
      <c r="L206" s="12" t="s">
        <v>335</v>
      </c>
      <c r="M206" s="9" t="s">
        <v>69</v>
      </c>
      <c r="N206" s="21">
        <v>-86947.91</v>
      </c>
      <c r="O206" s="22">
        <v>-86947.91</v>
      </c>
      <c r="P206" s="23">
        <f>Table2[[#This Row],[Sum of Old TB]]-Table2[[#This Row],[Sum of New TB]]</f>
        <v>0</v>
      </c>
    </row>
    <row r="207" customHeight="1" spans="2:16">
      <c r="B207" s="8" t="s">
        <v>344</v>
      </c>
      <c r="C207" s="9" t="s">
        <v>161</v>
      </c>
      <c r="D207" s="1">
        <v>504.8</v>
      </c>
      <c r="E207" s="9"/>
      <c r="G207" s="1" t="s">
        <v>333</v>
      </c>
      <c r="H207" s="1" t="s">
        <v>40</v>
      </c>
      <c r="I207" s="2">
        <v>-34329.38</v>
      </c>
      <c r="J207" s="2">
        <v>-34329.38</v>
      </c>
      <c r="L207" s="12" t="s">
        <v>336</v>
      </c>
      <c r="M207" s="9" t="s">
        <v>107</v>
      </c>
      <c r="N207" s="21">
        <v>49107.92</v>
      </c>
      <c r="O207" s="22">
        <v>49107.92</v>
      </c>
      <c r="P207" s="23">
        <f>Table2[[#This Row],[Sum of Old TB]]-Table2[[#This Row],[Sum of New TB]]</f>
        <v>0</v>
      </c>
    </row>
    <row r="208" customHeight="1" spans="2:16">
      <c r="B208" s="8" t="s">
        <v>345</v>
      </c>
      <c r="C208" s="9" t="s">
        <v>346</v>
      </c>
      <c r="D208" s="1">
        <v>126.17</v>
      </c>
      <c r="E208" s="9"/>
      <c r="G208" s="1" t="s">
        <v>334</v>
      </c>
      <c r="H208" s="1" t="s">
        <v>42</v>
      </c>
      <c r="I208" s="2">
        <v>-102.64</v>
      </c>
      <c r="J208" s="2">
        <v>-102.64</v>
      </c>
      <c r="L208" s="12" t="s">
        <v>337</v>
      </c>
      <c r="M208" s="9" t="s">
        <v>109</v>
      </c>
      <c r="N208" s="21">
        <v>4148.65</v>
      </c>
      <c r="O208" s="22">
        <v>4148.65</v>
      </c>
      <c r="P208" s="23">
        <f>Table2[[#This Row],[Sum of Old TB]]-Table2[[#This Row],[Sum of New TB]]</f>
        <v>0</v>
      </c>
    </row>
    <row r="209" customHeight="1" spans="2:16">
      <c r="B209" s="8" t="s">
        <v>347</v>
      </c>
      <c r="C209" s="9" t="s">
        <v>171</v>
      </c>
      <c r="D209" s="1">
        <v>1913.41</v>
      </c>
      <c r="E209" s="9"/>
      <c r="G209" s="1" t="s">
        <v>335</v>
      </c>
      <c r="H209" s="1" t="s">
        <v>69</v>
      </c>
      <c r="I209" s="2">
        <v>-86947.91</v>
      </c>
      <c r="J209" s="2">
        <v>-86947.91</v>
      </c>
      <c r="L209" s="12" t="s">
        <v>338</v>
      </c>
      <c r="M209" s="9" t="s">
        <v>111</v>
      </c>
      <c r="N209" s="21">
        <v>6397.47</v>
      </c>
      <c r="O209" s="22">
        <v>6397.47</v>
      </c>
      <c r="P209" s="23">
        <f>Table2[[#This Row],[Sum of Old TB]]-Table2[[#This Row],[Sum of New TB]]</f>
        <v>0</v>
      </c>
    </row>
    <row r="210" customHeight="1" spans="2:16">
      <c r="B210" s="8" t="s">
        <v>348</v>
      </c>
      <c r="C210" s="9" t="s">
        <v>175</v>
      </c>
      <c r="D210" s="1">
        <v>5157.49</v>
      </c>
      <c r="E210" s="9"/>
      <c r="G210" s="1" t="s">
        <v>336</v>
      </c>
      <c r="H210" s="1" t="s">
        <v>107</v>
      </c>
      <c r="I210" s="2">
        <v>49107.92</v>
      </c>
      <c r="J210" s="2">
        <v>49107.92</v>
      </c>
      <c r="L210" s="12" t="s">
        <v>339</v>
      </c>
      <c r="M210" s="9" t="s">
        <v>129</v>
      </c>
      <c r="N210" s="21">
        <v>1298.31</v>
      </c>
      <c r="O210" s="22">
        <v>1298.31</v>
      </c>
      <c r="P210" s="23">
        <f>Table2[[#This Row],[Sum of Old TB]]-Table2[[#This Row],[Sum of New TB]]</f>
        <v>0</v>
      </c>
    </row>
    <row r="211" customHeight="1" spans="2:16">
      <c r="B211" s="8" t="s">
        <v>349</v>
      </c>
      <c r="C211" s="9" t="s">
        <v>179</v>
      </c>
      <c r="D211" s="1">
        <v>705.35</v>
      </c>
      <c r="E211" s="9"/>
      <c r="G211" s="1" t="s">
        <v>337</v>
      </c>
      <c r="H211" s="1" t="s">
        <v>109</v>
      </c>
      <c r="I211" s="2">
        <v>4148.65</v>
      </c>
      <c r="J211" s="2">
        <v>4148.65</v>
      </c>
      <c r="L211" s="12" t="s">
        <v>340</v>
      </c>
      <c r="M211" s="9" t="s">
        <v>131</v>
      </c>
      <c r="N211" s="21">
        <v>828</v>
      </c>
      <c r="O211" s="22">
        <v>828</v>
      </c>
      <c r="P211" s="23">
        <f>Table2[[#This Row],[Sum of Old TB]]-Table2[[#This Row],[Sum of New TB]]</f>
        <v>0</v>
      </c>
    </row>
    <row r="212" customHeight="1" spans="2:16">
      <c r="B212" s="8" t="s">
        <v>350</v>
      </c>
      <c r="C212" s="9" t="s">
        <v>275</v>
      </c>
      <c r="D212" s="1">
        <v>12050.92</v>
      </c>
      <c r="E212" s="9"/>
      <c r="G212" s="1" t="s">
        <v>338</v>
      </c>
      <c r="H212" s="1" t="s">
        <v>111</v>
      </c>
      <c r="I212" s="2">
        <v>6397.47</v>
      </c>
      <c r="J212" s="2">
        <v>6397.47</v>
      </c>
      <c r="L212" s="12" t="s">
        <v>341</v>
      </c>
      <c r="M212" s="9" t="s">
        <v>143</v>
      </c>
      <c r="N212" s="21">
        <v>230.1</v>
      </c>
      <c r="O212" s="22">
        <v>230.1</v>
      </c>
      <c r="P212" s="23">
        <f>Table2[[#This Row],[Sum of Old TB]]-Table2[[#This Row],[Sum of New TB]]</f>
        <v>0</v>
      </c>
    </row>
    <row r="213" customHeight="1" spans="2:16">
      <c r="B213" s="8" t="s">
        <v>351</v>
      </c>
      <c r="C213" s="9" t="s">
        <v>277</v>
      </c>
      <c r="D213" s="1">
        <v>47353.69</v>
      </c>
      <c r="E213" s="9"/>
      <c r="G213" s="1" t="s">
        <v>339</v>
      </c>
      <c r="H213" s="1" t="s">
        <v>129</v>
      </c>
      <c r="I213" s="2">
        <v>1298.31</v>
      </c>
      <c r="J213" s="2">
        <v>1298.31</v>
      </c>
      <c r="L213" s="12" t="s">
        <v>342</v>
      </c>
      <c r="M213" s="9" t="s">
        <v>147</v>
      </c>
      <c r="N213" s="21">
        <v>1893.58</v>
      </c>
      <c r="O213" s="22">
        <v>1893.58</v>
      </c>
      <c r="P213" s="23">
        <f>Table2[[#This Row],[Sum of Old TB]]-Table2[[#This Row],[Sum of New TB]]</f>
        <v>0</v>
      </c>
    </row>
    <row r="214" customHeight="1" spans="2:16">
      <c r="B214" s="8" t="s">
        <v>352</v>
      </c>
      <c r="C214" s="9" t="s">
        <v>40</v>
      </c>
      <c r="D214" s="1">
        <v>-46887.57</v>
      </c>
      <c r="E214" s="9"/>
      <c r="G214" s="1" t="s">
        <v>340</v>
      </c>
      <c r="H214" s="1" t="s">
        <v>131</v>
      </c>
      <c r="I214" s="2">
        <v>828</v>
      </c>
      <c r="J214" s="2">
        <v>828</v>
      </c>
      <c r="L214" s="12" t="s">
        <v>343</v>
      </c>
      <c r="M214" s="9" t="s">
        <v>153</v>
      </c>
      <c r="N214" s="21">
        <v>2585.74</v>
      </c>
      <c r="O214" s="22">
        <v>2585.74</v>
      </c>
      <c r="P214" s="23">
        <f>Table2[[#This Row],[Sum of Old TB]]-Table2[[#This Row],[Sum of New TB]]</f>
        <v>0</v>
      </c>
    </row>
    <row r="215" customHeight="1" spans="2:16">
      <c r="B215" s="8" t="s">
        <v>353</v>
      </c>
      <c r="C215" s="9" t="s">
        <v>42</v>
      </c>
      <c r="D215" s="1">
        <v>-466.12</v>
      </c>
      <c r="E215" s="9"/>
      <c r="G215" s="1" t="s">
        <v>341</v>
      </c>
      <c r="H215" s="1" t="s">
        <v>143</v>
      </c>
      <c r="I215" s="2">
        <v>230.1</v>
      </c>
      <c r="J215" s="2">
        <v>230.1</v>
      </c>
      <c r="L215" s="12" t="s">
        <v>344</v>
      </c>
      <c r="M215" s="9" t="s">
        <v>161</v>
      </c>
      <c r="N215" s="21">
        <v>504.8</v>
      </c>
      <c r="O215" s="22">
        <v>504.8</v>
      </c>
      <c r="P215" s="23">
        <f>Table2[[#This Row],[Sum of Old TB]]-Table2[[#This Row],[Sum of New TB]]</f>
        <v>0</v>
      </c>
    </row>
    <row r="216" customHeight="1" spans="2:16">
      <c r="B216" s="8" t="s">
        <v>354</v>
      </c>
      <c r="C216" s="9" t="s">
        <v>69</v>
      </c>
      <c r="D216" s="1">
        <v>-424105.22</v>
      </c>
      <c r="E216" s="9"/>
      <c r="G216" s="1" t="s">
        <v>342</v>
      </c>
      <c r="H216" s="1" t="s">
        <v>147</v>
      </c>
      <c r="I216" s="2">
        <v>1893.58</v>
      </c>
      <c r="J216" s="2">
        <v>1893.58</v>
      </c>
      <c r="L216" s="12" t="s">
        <v>345</v>
      </c>
      <c r="M216" s="9" t="s">
        <v>346</v>
      </c>
      <c r="N216" s="21">
        <v>126.17</v>
      </c>
      <c r="O216" s="22">
        <v>126.17</v>
      </c>
      <c r="P216" s="23">
        <f>Table2[[#This Row],[Sum of Old TB]]-Table2[[#This Row],[Sum of New TB]]</f>
        <v>0</v>
      </c>
    </row>
    <row r="217" customHeight="1" spans="2:16">
      <c r="B217" s="8" t="s">
        <v>355</v>
      </c>
      <c r="C217" s="9" t="s">
        <v>107</v>
      </c>
      <c r="D217" s="1">
        <v>186368.39</v>
      </c>
      <c r="E217" s="9"/>
      <c r="G217" s="1" t="s">
        <v>343</v>
      </c>
      <c r="H217" s="1" t="s">
        <v>153</v>
      </c>
      <c r="I217" s="2">
        <v>2585.74</v>
      </c>
      <c r="J217" s="2">
        <v>2585.74</v>
      </c>
      <c r="L217" s="12" t="s">
        <v>347</v>
      </c>
      <c r="M217" s="9" t="s">
        <v>171</v>
      </c>
      <c r="N217" s="21">
        <v>1913.41</v>
      </c>
      <c r="O217" s="22">
        <v>1913.41</v>
      </c>
      <c r="P217" s="23">
        <f>Table2[[#This Row],[Sum of Old TB]]-Table2[[#This Row],[Sum of New TB]]</f>
        <v>0</v>
      </c>
    </row>
    <row r="218" customHeight="1" spans="2:16">
      <c r="B218" s="8" t="s">
        <v>356</v>
      </c>
      <c r="C218" s="9" t="s">
        <v>109</v>
      </c>
      <c r="D218" s="1">
        <v>16506.21</v>
      </c>
      <c r="E218" s="9"/>
      <c r="G218" s="1" t="s">
        <v>344</v>
      </c>
      <c r="H218" s="1" t="s">
        <v>161</v>
      </c>
      <c r="I218" s="2">
        <v>504.8</v>
      </c>
      <c r="J218" s="2">
        <v>504.8</v>
      </c>
      <c r="L218" s="12" t="s">
        <v>348</v>
      </c>
      <c r="M218" s="9" t="s">
        <v>175</v>
      </c>
      <c r="N218" s="21">
        <v>5157.49</v>
      </c>
      <c r="O218" s="22">
        <v>5157.49</v>
      </c>
      <c r="P218" s="23">
        <f>Table2[[#This Row],[Sum of Old TB]]-Table2[[#This Row],[Sum of New TB]]</f>
        <v>0</v>
      </c>
    </row>
    <row r="219" customHeight="1" spans="2:16">
      <c r="B219" s="8" t="s">
        <v>357</v>
      </c>
      <c r="C219" s="9" t="s">
        <v>111</v>
      </c>
      <c r="D219" s="1">
        <v>5038.75</v>
      </c>
      <c r="E219" s="9"/>
      <c r="G219" s="1" t="s">
        <v>345</v>
      </c>
      <c r="H219" s="1" t="s">
        <v>346</v>
      </c>
      <c r="I219" s="2">
        <v>126.17</v>
      </c>
      <c r="J219" s="2">
        <v>126.17</v>
      </c>
      <c r="L219" s="12" t="s">
        <v>349</v>
      </c>
      <c r="M219" s="9" t="s">
        <v>179</v>
      </c>
      <c r="N219" s="21">
        <v>705.35</v>
      </c>
      <c r="O219" s="22">
        <v>705.35</v>
      </c>
      <c r="P219" s="23">
        <f>Table2[[#This Row],[Sum of Old TB]]-Table2[[#This Row],[Sum of New TB]]</f>
        <v>0</v>
      </c>
    </row>
    <row r="220" customHeight="1" spans="2:16">
      <c r="B220" s="8" t="s">
        <v>358</v>
      </c>
      <c r="C220" s="9" t="s">
        <v>117</v>
      </c>
      <c r="D220" s="1">
        <v>6750</v>
      </c>
      <c r="E220" s="9"/>
      <c r="G220" s="1" t="s">
        <v>347</v>
      </c>
      <c r="H220" s="1" t="s">
        <v>171</v>
      </c>
      <c r="I220" s="2">
        <v>1913.41</v>
      </c>
      <c r="J220" s="2">
        <v>1913.41</v>
      </c>
      <c r="L220" s="12" t="s">
        <v>350</v>
      </c>
      <c r="M220" s="9" t="s">
        <v>275</v>
      </c>
      <c r="N220" s="21">
        <v>12050.92</v>
      </c>
      <c r="O220" s="22">
        <v>12050.92</v>
      </c>
      <c r="P220" s="23">
        <f>Table2[[#This Row],[Sum of Old TB]]-Table2[[#This Row],[Sum of New TB]]</f>
        <v>0</v>
      </c>
    </row>
    <row r="221" customHeight="1" spans="2:16">
      <c r="B221" s="8" t="s">
        <v>359</v>
      </c>
      <c r="C221" s="9" t="s">
        <v>121</v>
      </c>
      <c r="D221" s="1">
        <v>2500</v>
      </c>
      <c r="E221" s="9"/>
      <c r="G221" s="1" t="s">
        <v>348</v>
      </c>
      <c r="H221" s="1" t="s">
        <v>175</v>
      </c>
      <c r="I221" s="2">
        <v>5157.49</v>
      </c>
      <c r="J221" s="2">
        <v>5157.49</v>
      </c>
      <c r="L221" s="12" t="s">
        <v>351</v>
      </c>
      <c r="M221" s="9" t="s">
        <v>277</v>
      </c>
      <c r="N221" s="21">
        <v>47353.69</v>
      </c>
      <c r="O221" s="22">
        <v>47353.69</v>
      </c>
      <c r="P221" s="23">
        <f>Table2[[#This Row],[Sum of Old TB]]-Table2[[#This Row],[Sum of New TB]]</f>
        <v>0</v>
      </c>
    </row>
    <row r="222" customHeight="1" spans="2:16">
      <c r="B222" s="8" t="s">
        <v>360</v>
      </c>
      <c r="C222" s="9" t="s">
        <v>125</v>
      </c>
      <c r="D222" s="1">
        <v>334</v>
      </c>
      <c r="E222" s="9"/>
      <c r="G222" s="1" t="s">
        <v>349</v>
      </c>
      <c r="H222" s="1" t="s">
        <v>179</v>
      </c>
      <c r="I222" s="2">
        <v>705.35</v>
      </c>
      <c r="J222" s="2">
        <v>705.35</v>
      </c>
      <c r="L222" s="12" t="s">
        <v>352</v>
      </c>
      <c r="M222" s="9" t="s">
        <v>40</v>
      </c>
      <c r="N222" s="21">
        <v>-46887.57</v>
      </c>
      <c r="O222" s="22">
        <v>-46887.57</v>
      </c>
      <c r="P222" s="23">
        <f>Table2[[#This Row],[Sum of Old TB]]-Table2[[#This Row],[Sum of New TB]]</f>
        <v>0</v>
      </c>
    </row>
    <row r="223" customHeight="1" spans="2:16">
      <c r="B223" s="8" t="s">
        <v>361</v>
      </c>
      <c r="C223" s="9" t="s">
        <v>129</v>
      </c>
      <c r="D223" s="1">
        <v>17703.8</v>
      </c>
      <c r="E223" s="9"/>
      <c r="G223" s="1" t="s">
        <v>350</v>
      </c>
      <c r="H223" s="1" t="s">
        <v>275</v>
      </c>
      <c r="I223" s="2">
        <v>12050.92</v>
      </c>
      <c r="J223" s="2">
        <v>12050.92</v>
      </c>
      <c r="L223" s="12" t="s">
        <v>353</v>
      </c>
      <c r="M223" s="9" t="s">
        <v>42</v>
      </c>
      <c r="N223" s="21">
        <v>-466.12</v>
      </c>
      <c r="O223" s="22">
        <v>-466.12</v>
      </c>
      <c r="P223" s="23">
        <f>Table2[[#This Row],[Sum of Old TB]]-Table2[[#This Row],[Sum of New TB]]</f>
        <v>0</v>
      </c>
    </row>
    <row r="224" customHeight="1" spans="2:16">
      <c r="B224" s="8" t="s">
        <v>362</v>
      </c>
      <c r="C224" s="9" t="s">
        <v>131</v>
      </c>
      <c r="D224" s="1">
        <v>1537.99</v>
      </c>
      <c r="E224" s="9"/>
      <c r="G224" s="1" t="s">
        <v>351</v>
      </c>
      <c r="H224" s="1" t="s">
        <v>277</v>
      </c>
      <c r="I224" s="2">
        <v>47353.69</v>
      </c>
      <c r="J224" s="2">
        <v>47353.69</v>
      </c>
      <c r="L224" s="12" t="s">
        <v>354</v>
      </c>
      <c r="M224" s="9" t="s">
        <v>69</v>
      </c>
      <c r="N224" s="21">
        <v>-424105.22</v>
      </c>
      <c r="O224" s="22">
        <v>-424105.22</v>
      </c>
      <c r="P224" s="23">
        <f>Table2[[#This Row],[Sum of Old TB]]-Table2[[#This Row],[Sum of New TB]]</f>
        <v>0</v>
      </c>
    </row>
    <row r="225" customHeight="1" spans="2:16">
      <c r="B225" s="8" t="s">
        <v>363</v>
      </c>
      <c r="C225" s="9" t="s">
        <v>133</v>
      </c>
      <c r="D225" s="1">
        <v>3596.91</v>
      </c>
      <c r="E225" s="9"/>
      <c r="G225" s="1" t="s">
        <v>352</v>
      </c>
      <c r="H225" s="1" t="s">
        <v>40</v>
      </c>
      <c r="I225" s="2">
        <v>-46887.57</v>
      </c>
      <c r="J225" s="2">
        <v>-46887.57</v>
      </c>
      <c r="L225" s="12" t="s">
        <v>355</v>
      </c>
      <c r="M225" s="9" t="s">
        <v>107</v>
      </c>
      <c r="N225" s="21">
        <v>186368.39</v>
      </c>
      <c r="O225" s="22">
        <v>186298.89</v>
      </c>
      <c r="P225" s="23">
        <f>Table2[[#This Row],[Sum of Old TB]]-Table2[[#This Row],[Sum of New TB]]</f>
        <v>69.5</v>
      </c>
    </row>
    <row r="226" customHeight="1" spans="2:16">
      <c r="B226" s="8" t="s">
        <v>364</v>
      </c>
      <c r="C226" s="9" t="s">
        <v>135</v>
      </c>
      <c r="D226" s="1">
        <v>1083.87</v>
      </c>
      <c r="E226" s="9"/>
      <c r="G226" s="1" t="s">
        <v>353</v>
      </c>
      <c r="H226" s="1" t="s">
        <v>42</v>
      </c>
      <c r="I226" s="2">
        <v>-466.12</v>
      </c>
      <c r="J226" s="2">
        <v>-466.12</v>
      </c>
      <c r="L226" s="12" t="s">
        <v>356</v>
      </c>
      <c r="M226" s="9" t="s">
        <v>109</v>
      </c>
      <c r="N226" s="21">
        <v>16506.21</v>
      </c>
      <c r="O226" s="22">
        <v>16506.21</v>
      </c>
      <c r="P226" s="23">
        <f>Table2[[#This Row],[Sum of Old TB]]-Table2[[#This Row],[Sum of New TB]]</f>
        <v>0</v>
      </c>
    </row>
    <row r="227" customHeight="1" spans="2:16">
      <c r="B227" s="8" t="s">
        <v>365</v>
      </c>
      <c r="C227" s="9" t="s">
        <v>143</v>
      </c>
      <c r="D227" s="1">
        <v>1110.7</v>
      </c>
      <c r="E227" s="9"/>
      <c r="G227" s="1" t="s">
        <v>354</v>
      </c>
      <c r="H227" s="1" t="s">
        <v>69</v>
      </c>
      <c r="I227" s="2">
        <v>-424105.22</v>
      </c>
      <c r="J227" s="2">
        <v>-424105.22</v>
      </c>
      <c r="L227" s="12" t="s">
        <v>357</v>
      </c>
      <c r="M227" s="9" t="s">
        <v>111</v>
      </c>
      <c r="N227" s="21">
        <v>5038.75</v>
      </c>
      <c r="O227" s="22">
        <v>5038.75</v>
      </c>
      <c r="P227" s="23">
        <f>Table2[[#This Row],[Sum of Old TB]]-Table2[[#This Row],[Sum of New TB]]</f>
        <v>0</v>
      </c>
    </row>
    <row r="228" customHeight="1" spans="2:16">
      <c r="B228" s="8" t="s">
        <v>366</v>
      </c>
      <c r="C228" s="9" t="s">
        <v>147</v>
      </c>
      <c r="D228" s="1">
        <v>2115.67</v>
      </c>
      <c r="E228" s="9"/>
      <c r="G228" s="1" t="s">
        <v>355</v>
      </c>
      <c r="H228" s="1" t="s">
        <v>107</v>
      </c>
      <c r="I228" s="2">
        <v>186368.39</v>
      </c>
      <c r="J228" s="2">
        <v>186298.89</v>
      </c>
      <c r="L228" s="12" t="s">
        <v>358</v>
      </c>
      <c r="M228" s="9" t="s">
        <v>117</v>
      </c>
      <c r="N228" s="21">
        <v>6750</v>
      </c>
      <c r="O228" s="22">
        <v>6750</v>
      </c>
      <c r="P228" s="23">
        <f>Table2[[#This Row],[Sum of Old TB]]-Table2[[#This Row],[Sum of New TB]]</f>
        <v>0</v>
      </c>
    </row>
    <row r="229" customHeight="1" spans="2:16">
      <c r="B229" s="8" t="s">
        <v>367</v>
      </c>
      <c r="C229" s="9" t="s">
        <v>153</v>
      </c>
      <c r="D229" s="1">
        <v>4245.68</v>
      </c>
      <c r="E229" s="9"/>
      <c r="G229" s="1" t="s">
        <v>356</v>
      </c>
      <c r="H229" s="1" t="s">
        <v>109</v>
      </c>
      <c r="I229" s="2">
        <v>16506.21</v>
      </c>
      <c r="J229" s="2">
        <v>16506.21</v>
      </c>
      <c r="L229" s="12" t="s">
        <v>359</v>
      </c>
      <c r="M229" s="9" t="s">
        <v>121</v>
      </c>
      <c r="N229" s="21">
        <v>2500</v>
      </c>
      <c r="O229" s="22">
        <v>2500</v>
      </c>
      <c r="P229" s="23">
        <f>Table2[[#This Row],[Sum of Old TB]]-Table2[[#This Row],[Sum of New TB]]</f>
        <v>0</v>
      </c>
    </row>
    <row r="230" customHeight="1" spans="2:16">
      <c r="B230" s="8" t="s">
        <v>368</v>
      </c>
      <c r="C230" s="9" t="s">
        <v>163</v>
      </c>
      <c r="D230" s="1">
        <v>27906</v>
      </c>
      <c r="E230" s="9"/>
      <c r="G230" s="1" t="s">
        <v>357</v>
      </c>
      <c r="H230" s="1" t="s">
        <v>111</v>
      </c>
      <c r="I230" s="2">
        <v>5038.75</v>
      </c>
      <c r="J230" s="2">
        <v>5038.75</v>
      </c>
      <c r="L230" s="12" t="s">
        <v>360</v>
      </c>
      <c r="M230" s="9" t="s">
        <v>125</v>
      </c>
      <c r="N230" s="21">
        <v>334</v>
      </c>
      <c r="O230" s="22">
        <v>403.5</v>
      </c>
      <c r="P230" s="23">
        <f>Table2[[#This Row],[Sum of Old TB]]-Table2[[#This Row],[Sum of New TB]]</f>
        <v>-69.5</v>
      </c>
    </row>
    <row r="231" customHeight="1" spans="2:16">
      <c r="B231" s="8" t="s">
        <v>369</v>
      </c>
      <c r="C231" s="9" t="s">
        <v>165</v>
      </c>
      <c r="D231" s="1">
        <v>-340.83</v>
      </c>
      <c r="E231" s="9"/>
      <c r="G231" s="1" t="s">
        <v>358</v>
      </c>
      <c r="H231" s="1" t="s">
        <v>117</v>
      </c>
      <c r="I231" s="2">
        <v>6750</v>
      </c>
      <c r="J231" s="2">
        <v>6750</v>
      </c>
      <c r="L231" s="12" t="s">
        <v>361</v>
      </c>
      <c r="M231" s="9" t="s">
        <v>129</v>
      </c>
      <c r="N231" s="21">
        <v>17703.8</v>
      </c>
      <c r="O231" s="22">
        <v>17703.8</v>
      </c>
      <c r="P231" s="23">
        <f>Table2[[#This Row],[Sum of Old TB]]-Table2[[#This Row],[Sum of New TB]]</f>
        <v>0</v>
      </c>
    </row>
    <row r="232" customHeight="1" spans="2:16">
      <c r="B232" s="8" t="s">
        <v>370</v>
      </c>
      <c r="C232" s="9" t="s">
        <v>175</v>
      </c>
      <c r="D232" s="1">
        <v>72026.64</v>
      </c>
      <c r="E232" s="9"/>
      <c r="G232" s="1" t="s">
        <v>359</v>
      </c>
      <c r="H232" s="1" t="s">
        <v>121</v>
      </c>
      <c r="I232" s="2">
        <v>2500</v>
      </c>
      <c r="J232" s="2">
        <v>2500</v>
      </c>
      <c r="L232" s="12" t="s">
        <v>362</v>
      </c>
      <c r="M232" s="9" t="s">
        <v>131</v>
      </c>
      <c r="N232" s="21">
        <v>1537.99</v>
      </c>
      <c r="O232" s="22">
        <v>1537.99</v>
      </c>
      <c r="P232" s="23">
        <f>Table2[[#This Row],[Sum of Old TB]]-Table2[[#This Row],[Sum of New TB]]</f>
        <v>0</v>
      </c>
    </row>
    <row r="233" customHeight="1" spans="2:16">
      <c r="B233" s="8" t="s">
        <v>371</v>
      </c>
      <c r="C233" s="9" t="s">
        <v>177</v>
      </c>
      <c r="D233" s="1">
        <v>3706.62</v>
      </c>
      <c r="E233" s="9"/>
      <c r="G233" s="1" t="s">
        <v>360</v>
      </c>
      <c r="H233" s="1" t="s">
        <v>125</v>
      </c>
      <c r="I233" s="2">
        <v>334</v>
      </c>
      <c r="J233" s="2">
        <v>403.5</v>
      </c>
      <c r="L233" s="12" t="s">
        <v>363</v>
      </c>
      <c r="M233" s="9" t="s">
        <v>133</v>
      </c>
      <c r="N233" s="21">
        <v>3596.91</v>
      </c>
      <c r="O233" s="22">
        <v>3596.91</v>
      </c>
      <c r="P233" s="23">
        <f>Table2[[#This Row],[Sum of Old TB]]-Table2[[#This Row],[Sum of New TB]]</f>
        <v>0</v>
      </c>
    </row>
    <row r="234" customHeight="1" spans="2:16">
      <c r="B234" s="8" t="s">
        <v>372</v>
      </c>
      <c r="C234" s="9" t="s">
        <v>179</v>
      </c>
      <c r="D234" s="1">
        <v>1078.86</v>
      </c>
      <c r="E234" s="9"/>
      <c r="G234" s="1" t="s">
        <v>361</v>
      </c>
      <c r="H234" s="1" t="s">
        <v>129</v>
      </c>
      <c r="I234" s="2">
        <v>17703.8</v>
      </c>
      <c r="J234" s="2">
        <v>17703.8</v>
      </c>
      <c r="L234" s="12" t="s">
        <v>364</v>
      </c>
      <c r="M234" s="9" t="s">
        <v>135</v>
      </c>
      <c r="N234" s="21">
        <v>1083.87</v>
      </c>
      <c r="O234" s="22">
        <v>1083.87</v>
      </c>
      <c r="P234" s="23">
        <f>Table2[[#This Row],[Sum of Old TB]]-Table2[[#This Row],[Sum of New TB]]</f>
        <v>0</v>
      </c>
    </row>
    <row r="235" customHeight="1" spans="2:16">
      <c r="B235" s="8" t="s">
        <v>373</v>
      </c>
      <c r="C235" s="9" t="s">
        <v>187</v>
      </c>
      <c r="D235" s="1">
        <v>3625.25</v>
      </c>
      <c r="E235" s="9"/>
      <c r="G235" s="1" t="s">
        <v>362</v>
      </c>
      <c r="H235" s="1" t="s">
        <v>131</v>
      </c>
      <c r="I235" s="2">
        <v>1537.99</v>
      </c>
      <c r="J235" s="2">
        <v>1537.99</v>
      </c>
      <c r="L235" s="12" t="s">
        <v>365</v>
      </c>
      <c r="M235" s="9" t="s">
        <v>143</v>
      </c>
      <c r="N235" s="21">
        <v>1110.7</v>
      </c>
      <c r="O235" s="22">
        <v>1110.7</v>
      </c>
      <c r="P235" s="23">
        <f>Table2[[#This Row],[Sum of Old TB]]-Table2[[#This Row],[Sum of New TB]]</f>
        <v>0</v>
      </c>
    </row>
    <row r="236" customHeight="1" spans="2:16">
      <c r="B236" s="8" t="s">
        <v>374</v>
      </c>
      <c r="C236" s="9" t="s">
        <v>193</v>
      </c>
      <c r="D236" s="1">
        <v>114.93</v>
      </c>
      <c r="E236" s="9"/>
      <c r="G236" s="1" t="s">
        <v>363</v>
      </c>
      <c r="H236" s="1" t="s">
        <v>133</v>
      </c>
      <c r="I236" s="2">
        <v>3596.91</v>
      </c>
      <c r="J236" s="2">
        <v>3596.91</v>
      </c>
      <c r="L236" s="12" t="s">
        <v>366</v>
      </c>
      <c r="M236" s="9" t="s">
        <v>147</v>
      </c>
      <c r="N236" s="21">
        <v>2115.67</v>
      </c>
      <c r="O236" s="22">
        <v>2115.67</v>
      </c>
      <c r="P236" s="23">
        <f>Table2[[#This Row],[Sum of Old TB]]-Table2[[#This Row],[Sum of New TB]]</f>
        <v>0</v>
      </c>
    </row>
    <row r="237" customHeight="1" spans="2:16">
      <c r="B237" s="8" t="s">
        <v>375</v>
      </c>
      <c r="C237" s="9" t="s">
        <v>197</v>
      </c>
      <c r="D237" s="1">
        <v>11117.03</v>
      </c>
      <c r="E237" s="9"/>
      <c r="G237" s="1" t="s">
        <v>364</v>
      </c>
      <c r="H237" s="1" t="s">
        <v>135</v>
      </c>
      <c r="I237" s="2">
        <v>1083.87</v>
      </c>
      <c r="J237" s="2">
        <v>1083.87</v>
      </c>
      <c r="L237" s="12" t="s">
        <v>367</v>
      </c>
      <c r="M237" s="9" t="s">
        <v>153</v>
      </c>
      <c r="N237" s="21">
        <v>4245.68</v>
      </c>
      <c r="O237" s="22">
        <v>4245.68</v>
      </c>
      <c r="P237" s="23">
        <f>Table2[[#This Row],[Sum of Old TB]]-Table2[[#This Row],[Sum of New TB]]</f>
        <v>0</v>
      </c>
    </row>
    <row r="238" customHeight="1" spans="2:16">
      <c r="B238" s="8" t="s">
        <v>376</v>
      </c>
      <c r="C238" s="9" t="s">
        <v>377</v>
      </c>
      <c r="D238" s="1">
        <v>1063.21</v>
      </c>
      <c r="E238" s="9"/>
      <c r="G238" s="1" t="s">
        <v>365</v>
      </c>
      <c r="H238" s="1" t="s">
        <v>143</v>
      </c>
      <c r="I238" s="2">
        <v>1110.7</v>
      </c>
      <c r="J238" s="2">
        <v>1110.7</v>
      </c>
      <c r="L238" s="12" t="s">
        <v>378</v>
      </c>
      <c r="M238" s="9" t="s">
        <v>159</v>
      </c>
      <c r="N238" s="21"/>
      <c r="O238" s="22">
        <v>4196.73</v>
      </c>
      <c r="P238" s="23">
        <f>Table2[[#This Row],[Sum of Old TB]]-Table2[[#This Row],[Sum of New TB]]</f>
        <v>-4196.73</v>
      </c>
    </row>
    <row r="239" customHeight="1" spans="2:16">
      <c r="B239" s="8" t="s">
        <v>379</v>
      </c>
      <c r="C239" s="9" t="s">
        <v>275</v>
      </c>
      <c r="D239" s="1">
        <v>54915.54</v>
      </c>
      <c r="E239" s="9"/>
      <c r="G239" s="1" t="s">
        <v>366</v>
      </c>
      <c r="H239" s="1" t="s">
        <v>147</v>
      </c>
      <c r="I239" s="2">
        <v>2115.67</v>
      </c>
      <c r="J239" s="2">
        <v>2115.67</v>
      </c>
      <c r="L239" s="12" t="s">
        <v>380</v>
      </c>
      <c r="M239" s="9" t="s">
        <v>173</v>
      </c>
      <c r="N239" s="21"/>
      <c r="O239" s="22">
        <v>23709.27</v>
      </c>
      <c r="P239" s="23">
        <f>Table2[[#This Row],[Sum of Old TB]]-Table2[[#This Row],[Sum of New TB]]</f>
        <v>-23709.27</v>
      </c>
    </row>
    <row r="240" customHeight="1" spans="2:16">
      <c r="B240" s="8" t="s">
        <v>26</v>
      </c>
      <c r="C240" s="9" t="s">
        <v>21</v>
      </c>
      <c r="D240" s="1">
        <v>500</v>
      </c>
      <c r="E240" s="9"/>
      <c r="G240" s="1" t="s">
        <v>367</v>
      </c>
      <c r="H240" s="1" t="s">
        <v>153</v>
      </c>
      <c r="I240" s="2">
        <v>4245.68</v>
      </c>
      <c r="J240" s="2">
        <v>4245.68</v>
      </c>
      <c r="L240" s="12" t="s">
        <v>368</v>
      </c>
      <c r="M240" s="9" t="s">
        <v>163</v>
      </c>
      <c r="N240" s="21">
        <v>27906</v>
      </c>
      <c r="O240" s="22"/>
      <c r="P240" s="23">
        <f>Table2[[#This Row],[Sum of Old TB]]-Table2[[#This Row],[Sum of New TB]]</f>
        <v>27906</v>
      </c>
    </row>
    <row r="241" customHeight="1" spans="2:16">
      <c r="B241" s="8" t="s">
        <v>381</v>
      </c>
      <c r="C241" s="9" t="s">
        <v>40</v>
      </c>
      <c r="D241" s="1">
        <v>73943.31</v>
      </c>
      <c r="E241" s="9"/>
      <c r="G241" s="1" t="s">
        <v>378</v>
      </c>
      <c r="H241" s="1" t="s">
        <v>159</v>
      </c>
      <c r="J241" s="2">
        <v>4196.73</v>
      </c>
      <c r="L241" s="12" t="s">
        <v>369</v>
      </c>
      <c r="M241" s="9" t="s">
        <v>165</v>
      </c>
      <c r="N241" s="21">
        <v>-340.83</v>
      </c>
      <c r="O241" s="22">
        <v>-340.83</v>
      </c>
      <c r="P241" s="23">
        <f>Table2[[#This Row],[Sum of Old TB]]-Table2[[#This Row],[Sum of New TB]]</f>
        <v>0</v>
      </c>
    </row>
    <row r="242" customHeight="1" spans="2:16">
      <c r="B242" s="8" t="s">
        <v>382</v>
      </c>
      <c r="C242" s="9" t="s">
        <v>42</v>
      </c>
      <c r="D242" s="1">
        <v>-5911.65</v>
      </c>
      <c r="E242" s="9"/>
      <c r="G242" s="1" t="s">
        <v>380</v>
      </c>
      <c r="H242" s="1" t="s">
        <v>173</v>
      </c>
      <c r="J242" s="2">
        <v>23709.27</v>
      </c>
      <c r="L242" s="12" t="s">
        <v>370</v>
      </c>
      <c r="M242" s="9" t="s">
        <v>175</v>
      </c>
      <c r="N242" s="21">
        <v>72026.64</v>
      </c>
      <c r="O242" s="22">
        <v>72026.64</v>
      </c>
      <c r="P242" s="23">
        <f>Table2[[#This Row],[Sum of Old TB]]-Table2[[#This Row],[Sum of New TB]]</f>
        <v>0</v>
      </c>
    </row>
    <row r="243" customHeight="1" spans="2:16">
      <c r="B243" s="8" t="s">
        <v>383</v>
      </c>
      <c r="C243" s="9" t="s">
        <v>42</v>
      </c>
      <c r="D243" s="1">
        <v>-23795.96</v>
      </c>
      <c r="E243" s="9"/>
      <c r="G243" s="1" t="s">
        <v>368</v>
      </c>
      <c r="H243" s="1" t="s">
        <v>163</v>
      </c>
      <c r="I243" s="2">
        <v>27906</v>
      </c>
      <c r="L243" s="12" t="s">
        <v>371</v>
      </c>
      <c r="M243" s="9" t="s">
        <v>177</v>
      </c>
      <c r="N243" s="21">
        <v>3706.62</v>
      </c>
      <c r="O243" s="22">
        <v>3706.62</v>
      </c>
      <c r="P243" s="23">
        <f>Table2[[#This Row],[Sum of Old TB]]-Table2[[#This Row],[Sum of New TB]]</f>
        <v>0</v>
      </c>
    </row>
    <row r="244" customHeight="1" spans="2:16">
      <c r="B244" s="8" t="s">
        <v>27</v>
      </c>
      <c r="C244" s="9" t="s">
        <v>25</v>
      </c>
      <c r="D244" s="1">
        <v>22045</v>
      </c>
      <c r="E244" s="9"/>
      <c r="G244" s="1" t="s">
        <v>369</v>
      </c>
      <c r="H244" s="1" t="s">
        <v>165</v>
      </c>
      <c r="I244" s="2">
        <v>-340.83</v>
      </c>
      <c r="J244" s="2">
        <v>-340.83</v>
      </c>
      <c r="L244" s="12" t="s">
        <v>372</v>
      </c>
      <c r="M244" s="9" t="s">
        <v>179</v>
      </c>
      <c r="N244" s="21">
        <v>1078.86</v>
      </c>
      <c r="O244" s="22">
        <v>1078.86</v>
      </c>
      <c r="P244" s="23">
        <f>Table2[[#This Row],[Sum of Old TB]]-Table2[[#This Row],[Sum of New TB]]</f>
        <v>0</v>
      </c>
    </row>
    <row r="245" customHeight="1" spans="2:16">
      <c r="B245" s="8" t="s">
        <v>384</v>
      </c>
      <c r="C245" s="9" t="s">
        <v>385</v>
      </c>
      <c r="D245" s="1">
        <v>-615.29</v>
      </c>
      <c r="E245" s="9"/>
      <c r="G245" s="1" t="s">
        <v>370</v>
      </c>
      <c r="H245" s="1" t="s">
        <v>175</v>
      </c>
      <c r="I245" s="2">
        <v>72026.64</v>
      </c>
      <c r="J245" s="2">
        <v>72026.64</v>
      </c>
      <c r="L245" s="12" t="s">
        <v>373</v>
      </c>
      <c r="M245" s="9" t="s">
        <v>187</v>
      </c>
      <c r="N245" s="21">
        <v>3625.25</v>
      </c>
      <c r="O245" s="22">
        <v>3625.25</v>
      </c>
      <c r="P245" s="23">
        <f>Table2[[#This Row],[Sum of Old TB]]-Table2[[#This Row],[Sum of New TB]]</f>
        <v>0</v>
      </c>
    </row>
    <row r="246" customHeight="1" spans="2:16">
      <c r="B246" s="8" t="s">
        <v>386</v>
      </c>
      <c r="C246" s="9" t="s">
        <v>55</v>
      </c>
      <c r="D246" s="1">
        <v>132.03</v>
      </c>
      <c r="E246" s="9"/>
      <c r="G246" s="1" t="s">
        <v>371</v>
      </c>
      <c r="H246" s="1" t="s">
        <v>177</v>
      </c>
      <c r="I246" s="2">
        <v>3706.62</v>
      </c>
      <c r="J246" s="2">
        <v>3706.62</v>
      </c>
      <c r="L246" s="12" t="s">
        <v>374</v>
      </c>
      <c r="M246" s="9" t="s">
        <v>193</v>
      </c>
      <c r="N246" s="21">
        <v>114.93</v>
      </c>
      <c r="O246" s="22">
        <v>114.93</v>
      </c>
      <c r="P246" s="23">
        <f>Table2[[#This Row],[Sum of Old TB]]-Table2[[#This Row],[Sum of New TB]]</f>
        <v>0</v>
      </c>
    </row>
    <row r="247" customHeight="1" spans="2:16">
      <c r="B247" s="8" t="s">
        <v>387</v>
      </c>
      <c r="C247" s="9" t="s">
        <v>228</v>
      </c>
      <c r="D247" s="1">
        <v>-66297.44</v>
      </c>
      <c r="E247" s="9"/>
      <c r="G247" s="1" t="s">
        <v>372</v>
      </c>
      <c r="H247" s="1" t="s">
        <v>179</v>
      </c>
      <c r="I247" s="2">
        <v>1078.86</v>
      </c>
      <c r="J247" s="2">
        <v>1078.86</v>
      </c>
      <c r="L247" s="12" t="s">
        <v>375</v>
      </c>
      <c r="M247" s="9" t="s">
        <v>197</v>
      </c>
      <c r="N247" s="21">
        <v>11117.03</v>
      </c>
      <c r="O247" s="22">
        <v>11117.03</v>
      </c>
      <c r="P247" s="23">
        <f>Table2[[#This Row],[Sum of Old TB]]-Table2[[#This Row],[Sum of New TB]]</f>
        <v>0</v>
      </c>
    </row>
    <row r="248" customHeight="1" spans="2:16">
      <c r="B248" s="8" t="s">
        <v>388</v>
      </c>
      <c r="C248" s="9" t="s">
        <v>69</v>
      </c>
      <c r="D248" s="1">
        <v>-793137.3</v>
      </c>
      <c r="E248" s="9"/>
      <c r="G248" s="1" t="s">
        <v>373</v>
      </c>
      <c r="H248" s="1" t="s">
        <v>187</v>
      </c>
      <c r="I248" s="2">
        <v>3625.25</v>
      </c>
      <c r="J248" s="2">
        <v>3625.25</v>
      </c>
      <c r="L248" s="12" t="s">
        <v>376</v>
      </c>
      <c r="M248" s="9" t="s">
        <v>377</v>
      </c>
      <c r="N248" s="21">
        <v>1063.21</v>
      </c>
      <c r="O248" s="22">
        <v>1063.21</v>
      </c>
      <c r="P248" s="23">
        <f>Table2[[#This Row],[Sum of Old TB]]-Table2[[#This Row],[Sum of New TB]]</f>
        <v>0</v>
      </c>
    </row>
    <row r="249" customHeight="1" spans="2:16">
      <c r="B249" s="8" t="s">
        <v>389</v>
      </c>
      <c r="C249" s="9" t="s">
        <v>107</v>
      </c>
      <c r="D249" s="1">
        <v>398033.97</v>
      </c>
      <c r="E249" s="9"/>
      <c r="G249" s="1" t="s">
        <v>374</v>
      </c>
      <c r="H249" s="1" t="s">
        <v>193</v>
      </c>
      <c r="I249" s="2">
        <v>114.93</v>
      </c>
      <c r="J249" s="2">
        <v>114.93</v>
      </c>
      <c r="L249" s="12" t="s">
        <v>379</v>
      </c>
      <c r="M249" s="9" t="s">
        <v>275</v>
      </c>
      <c r="N249" s="21">
        <v>54915.54</v>
      </c>
      <c r="O249" s="22">
        <v>54915.54</v>
      </c>
      <c r="P249" s="23">
        <f>Table2[[#This Row],[Sum of Old TB]]-Table2[[#This Row],[Sum of New TB]]</f>
        <v>0</v>
      </c>
    </row>
    <row r="250" customHeight="1" spans="2:16">
      <c r="B250" s="8" t="s">
        <v>390</v>
      </c>
      <c r="C250" s="9" t="s">
        <v>109</v>
      </c>
      <c r="D250" s="1">
        <v>34042.8</v>
      </c>
      <c r="E250" s="9"/>
      <c r="G250" s="1" t="s">
        <v>375</v>
      </c>
      <c r="H250" s="1" t="s">
        <v>197</v>
      </c>
      <c r="I250" s="2">
        <v>11117.03</v>
      </c>
      <c r="J250" s="2">
        <v>11117.03</v>
      </c>
      <c r="L250" s="12" t="s">
        <v>26</v>
      </c>
      <c r="M250" s="9" t="s">
        <v>21</v>
      </c>
      <c r="N250" s="21">
        <v>500</v>
      </c>
      <c r="O250" s="22">
        <v>500</v>
      </c>
      <c r="P250" s="23">
        <f>Table2[[#This Row],[Sum of Old TB]]-Table2[[#This Row],[Sum of New TB]]</f>
        <v>0</v>
      </c>
    </row>
    <row r="251" customHeight="1" spans="2:16">
      <c r="B251" s="8" t="s">
        <v>391</v>
      </c>
      <c r="C251" s="9" t="s">
        <v>111</v>
      </c>
      <c r="D251" s="1">
        <v>29948.38</v>
      </c>
      <c r="E251" s="9"/>
      <c r="G251" s="1" t="s">
        <v>376</v>
      </c>
      <c r="H251" s="1" t="s">
        <v>377</v>
      </c>
      <c r="I251" s="2">
        <v>1063.21</v>
      </c>
      <c r="J251" s="2">
        <v>1063.21</v>
      </c>
      <c r="L251" s="12" t="s">
        <v>381</v>
      </c>
      <c r="M251" s="9" t="s">
        <v>40</v>
      </c>
      <c r="N251" s="21">
        <v>73943.31</v>
      </c>
      <c r="O251" s="22">
        <v>73443.31</v>
      </c>
      <c r="P251" s="23">
        <f>Table2[[#This Row],[Sum of Old TB]]-Table2[[#This Row],[Sum of New TB]]</f>
        <v>500</v>
      </c>
    </row>
    <row r="252" customHeight="1" spans="2:16">
      <c r="B252" s="8" t="s">
        <v>392</v>
      </c>
      <c r="C252" s="9" t="s">
        <v>113</v>
      </c>
      <c r="D252" s="1">
        <v>18376</v>
      </c>
      <c r="E252" s="9"/>
      <c r="G252" s="1" t="s">
        <v>379</v>
      </c>
      <c r="H252" s="1" t="s">
        <v>275</v>
      </c>
      <c r="I252" s="2">
        <v>54915.54</v>
      </c>
      <c r="J252" s="2">
        <v>54915.54</v>
      </c>
      <c r="L252" s="12" t="s">
        <v>382</v>
      </c>
      <c r="M252" s="9" t="s">
        <v>42</v>
      </c>
      <c r="N252" s="21">
        <v>-5911.65</v>
      </c>
      <c r="O252" s="22">
        <v>-5911.65</v>
      </c>
      <c r="P252" s="23">
        <f>Table2[[#This Row],[Sum of Old TB]]-Table2[[#This Row],[Sum of New TB]]</f>
        <v>0</v>
      </c>
    </row>
    <row r="253" customHeight="1" spans="2:16">
      <c r="B253" s="8" t="s">
        <v>393</v>
      </c>
      <c r="C253" s="9" t="s">
        <v>117</v>
      </c>
      <c r="D253" s="1">
        <v>15267.09</v>
      </c>
      <c r="E253" s="9"/>
      <c r="G253" s="1" t="s">
        <v>26</v>
      </c>
      <c r="H253" s="1" t="s">
        <v>21</v>
      </c>
      <c r="I253" s="2">
        <v>500</v>
      </c>
      <c r="J253" s="2">
        <v>500</v>
      </c>
      <c r="L253" s="12" t="s">
        <v>383</v>
      </c>
      <c r="M253" s="9" t="s">
        <v>42</v>
      </c>
      <c r="N253" s="21">
        <v>-23795.96</v>
      </c>
      <c r="O253" s="22">
        <v>-23795.96</v>
      </c>
      <c r="P253" s="23">
        <f>Table2[[#This Row],[Sum of Old TB]]-Table2[[#This Row],[Sum of New TB]]</f>
        <v>0</v>
      </c>
    </row>
    <row r="254" customHeight="1" spans="2:16">
      <c r="B254" s="8" t="s">
        <v>394</v>
      </c>
      <c r="C254" s="9" t="s">
        <v>121</v>
      </c>
      <c r="D254" s="1">
        <v>49205.39</v>
      </c>
      <c r="E254" s="9"/>
      <c r="G254" s="1" t="s">
        <v>381</v>
      </c>
      <c r="H254" s="1" t="s">
        <v>40</v>
      </c>
      <c r="I254" s="2">
        <v>73943.31</v>
      </c>
      <c r="J254" s="2">
        <v>73443.31</v>
      </c>
      <c r="L254" s="12" t="s">
        <v>27</v>
      </c>
      <c r="M254" s="9" t="s">
        <v>25</v>
      </c>
      <c r="N254" s="21">
        <v>22045</v>
      </c>
      <c r="O254" s="22">
        <v>22045</v>
      </c>
      <c r="P254" s="23">
        <f>Table2[[#This Row],[Sum of Old TB]]-Table2[[#This Row],[Sum of New TB]]</f>
        <v>0</v>
      </c>
    </row>
    <row r="255" customHeight="1" spans="2:16">
      <c r="B255" s="8" t="s">
        <v>395</v>
      </c>
      <c r="C255" s="9" t="s">
        <v>125</v>
      </c>
      <c r="D255" s="1">
        <v>330</v>
      </c>
      <c r="E255" s="9"/>
      <c r="G255" s="1" t="s">
        <v>382</v>
      </c>
      <c r="H255" s="1" t="s">
        <v>42</v>
      </c>
      <c r="I255" s="2">
        <v>-5911.65</v>
      </c>
      <c r="J255" s="2">
        <v>-5911.65</v>
      </c>
      <c r="L255" s="12" t="s">
        <v>384</v>
      </c>
      <c r="M255" s="9" t="s">
        <v>385</v>
      </c>
      <c r="N255" s="21">
        <v>-615.29</v>
      </c>
      <c r="O255" s="22">
        <v>-615.29</v>
      </c>
      <c r="P255" s="23">
        <f>Table2[[#This Row],[Sum of Old TB]]-Table2[[#This Row],[Sum of New TB]]</f>
        <v>0</v>
      </c>
    </row>
    <row r="256" customHeight="1" spans="2:16">
      <c r="B256" s="8" t="s">
        <v>396</v>
      </c>
      <c r="C256" s="9" t="s">
        <v>129</v>
      </c>
      <c r="D256" s="1">
        <v>26862.24</v>
      </c>
      <c r="E256" s="9"/>
      <c r="G256" s="1" t="s">
        <v>383</v>
      </c>
      <c r="H256" s="1" t="s">
        <v>42</v>
      </c>
      <c r="I256" s="2">
        <v>-23795.96</v>
      </c>
      <c r="J256" s="2">
        <v>-23795.96</v>
      </c>
      <c r="L256" s="12" t="s">
        <v>386</v>
      </c>
      <c r="M256" s="9" t="s">
        <v>55</v>
      </c>
      <c r="N256" s="21">
        <v>132.03</v>
      </c>
      <c r="O256" s="22">
        <v>132.03</v>
      </c>
      <c r="P256" s="23">
        <f>Table2[[#This Row],[Sum of Old TB]]-Table2[[#This Row],[Sum of New TB]]</f>
        <v>0</v>
      </c>
    </row>
    <row r="257" customHeight="1" spans="2:16">
      <c r="B257" s="8" t="s">
        <v>397</v>
      </c>
      <c r="C257" s="9" t="s">
        <v>131</v>
      </c>
      <c r="D257" s="1">
        <v>5401.77</v>
      </c>
      <c r="E257" s="9"/>
      <c r="G257" s="1" t="s">
        <v>27</v>
      </c>
      <c r="H257" s="1" t="s">
        <v>25</v>
      </c>
      <c r="I257" s="2">
        <v>22045</v>
      </c>
      <c r="J257" s="2">
        <v>22045</v>
      </c>
      <c r="L257" s="12" t="s">
        <v>387</v>
      </c>
      <c r="M257" s="9" t="s">
        <v>228</v>
      </c>
      <c r="N257" s="21">
        <v>-66297.44</v>
      </c>
      <c r="O257" s="22">
        <v>-65797.44</v>
      </c>
      <c r="P257" s="23">
        <f>Table2[[#This Row],[Sum of Old TB]]-Table2[[#This Row],[Sum of New TB]]</f>
        <v>-500</v>
      </c>
    </row>
    <row r="258" customHeight="1" spans="2:16">
      <c r="B258" s="8" t="s">
        <v>398</v>
      </c>
      <c r="C258" s="9" t="s">
        <v>133</v>
      </c>
      <c r="D258" s="1">
        <v>9652.81</v>
      </c>
      <c r="E258" s="9"/>
      <c r="G258" s="1" t="s">
        <v>384</v>
      </c>
      <c r="H258" s="1" t="s">
        <v>385</v>
      </c>
      <c r="I258" s="2">
        <v>-615.29</v>
      </c>
      <c r="J258" s="2">
        <v>-615.29</v>
      </c>
      <c r="L258" s="12" t="s">
        <v>388</v>
      </c>
      <c r="M258" s="9" t="s">
        <v>69</v>
      </c>
      <c r="N258" s="21">
        <v>-793137.3</v>
      </c>
      <c r="O258" s="22">
        <v>-793637.3</v>
      </c>
      <c r="P258" s="23">
        <f>Table2[[#This Row],[Sum of Old TB]]-Table2[[#This Row],[Sum of New TB]]</f>
        <v>500</v>
      </c>
    </row>
    <row r="259" customHeight="1" spans="2:16">
      <c r="B259" s="8" t="s">
        <v>399</v>
      </c>
      <c r="C259" s="9" t="s">
        <v>135</v>
      </c>
      <c r="D259" s="1">
        <v>3525.97</v>
      </c>
      <c r="E259" s="9"/>
      <c r="G259" s="1" t="s">
        <v>386</v>
      </c>
      <c r="H259" s="1" t="s">
        <v>55</v>
      </c>
      <c r="I259" s="2">
        <v>132.03</v>
      </c>
      <c r="J259" s="2">
        <v>132.03</v>
      </c>
      <c r="L259" s="12" t="s">
        <v>389</v>
      </c>
      <c r="M259" s="9" t="s">
        <v>107</v>
      </c>
      <c r="N259" s="21">
        <v>398033.97</v>
      </c>
      <c r="O259" s="22">
        <v>397978.97</v>
      </c>
      <c r="P259" s="23">
        <f>Table2[[#This Row],[Sum of Old TB]]-Table2[[#This Row],[Sum of New TB]]</f>
        <v>55</v>
      </c>
    </row>
    <row r="260" customHeight="1" spans="2:16">
      <c r="B260" s="8" t="s">
        <v>400</v>
      </c>
      <c r="C260" s="9" t="s">
        <v>137</v>
      </c>
      <c r="D260" s="1">
        <v>-914.2</v>
      </c>
      <c r="E260" s="9"/>
      <c r="G260" s="1" t="s">
        <v>387</v>
      </c>
      <c r="H260" s="1" t="s">
        <v>228</v>
      </c>
      <c r="I260" s="2">
        <v>-66297.44</v>
      </c>
      <c r="J260" s="2">
        <v>-65797.44</v>
      </c>
      <c r="L260" s="12" t="s">
        <v>390</v>
      </c>
      <c r="M260" s="9" t="s">
        <v>109</v>
      </c>
      <c r="N260" s="21">
        <v>34042.8</v>
      </c>
      <c r="O260" s="22">
        <v>34042.8</v>
      </c>
      <c r="P260" s="23">
        <f>Table2[[#This Row],[Sum of Old TB]]-Table2[[#This Row],[Sum of New TB]]</f>
        <v>0</v>
      </c>
    </row>
    <row r="261" customHeight="1" spans="2:16">
      <c r="B261" s="8" t="s">
        <v>401</v>
      </c>
      <c r="C261" s="9" t="s">
        <v>139</v>
      </c>
      <c r="D261" s="1">
        <v>35</v>
      </c>
      <c r="E261" s="9"/>
      <c r="G261" s="1" t="s">
        <v>388</v>
      </c>
      <c r="H261" s="1" t="s">
        <v>69</v>
      </c>
      <c r="I261" s="2">
        <v>-793137.3</v>
      </c>
      <c r="J261" s="2">
        <v>-793637.3</v>
      </c>
      <c r="L261" s="12" t="s">
        <v>391</v>
      </c>
      <c r="M261" s="9" t="s">
        <v>111</v>
      </c>
      <c r="N261" s="21">
        <v>29948.38</v>
      </c>
      <c r="O261" s="22">
        <v>29948.38</v>
      </c>
      <c r="P261" s="23">
        <f>Table2[[#This Row],[Sum of Old TB]]-Table2[[#This Row],[Sum of New TB]]</f>
        <v>0</v>
      </c>
    </row>
    <row r="262" customHeight="1" spans="2:16">
      <c r="B262" s="8" t="s">
        <v>402</v>
      </c>
      <c r="C262" s="9" t="s">
        <v>143</v>
      </c>
      <c r="D262" s="1">
        <v>230.1</v>
      </c>
      <c r="E262" s="9"/>
      <c r="G262" s="1" t="s">
        <v>389</v>
      </c>
      <c r="H262" s="1" t="s">
        <v>107</v>
      </c>
      <c r="I262" s="2">
        <v>398033.97</v>
      </c>
      <c r="J262" s="2">
        <v>397978.97</v>
      </c>
      <c r="L262" s="12" t="s">
        <v>403</v>
      </c>
      <c r="M262" s="9" t="s">
        <v>404</v>
      </c>
      <c r="N262" s="21"/>
      <c r="O262" s="22">
        <v>500</v>
      </c>
      <c r="P262" s="23">
        <f>Table2[[#This Row],[Sum of Old TB]]-Table2[[#This Row],[Sum of New TB]]</f>
        <v>-500</v>
      </c>
    </row>
    <row r="263" customHeight="1" spans="2:16">
      <c r="B263" s="8" t="s">
        <v>405</v>
      </c>
      <c r="C263" s="9" t="s">
        <v>145</v>
      </c>
      <c r="D263" s="1">
        <v>9600</v>
      </c>
      <c r="E263" s="9"/>
      <c r="G263" s="1" t="s">
        <v>390</v>
      </c>
      <c r="H263" s="1" t="s">
        <v>109</v>
      </c>
      <c r="I263" s="2">
        <v>34042.8</v>
      </c>
      <c r="J263" s="2">
        <v>34042.8</v>
      </c>
      <c r="L263" s="12" t="s">
        <v>392</v>
      </c>
      <c r="M263" s="9" t="s">
        <v>113</v>
      </c>
      <c r="N263" s="21">
        <v>18376</v>
      </c>
      <c r="O263" s="22">
        <v>18376</v>
      </c>
      <c r="P263" s="23">
        <f>Table2[[#This Row],[Sum of Old TB]]-Table2[[#This Row],[Sum of New TB]]</f>
        <v>0</v>
      </c>
    </row>
    <row r="264" customHeight="1" spans="2:16">
      <c r="B264" s="8" t="s">
        <v>406</v>
      </c>
      <c r="C264" s="9" t="s">
        <v>147</v>
      </c>
      <c r="D264" s="1">
        <v>12536.82</v>
      </c>
      <c r="E264" s="9"/>
      <c r="G264" s="1" t="s">
        <v>391</v>
      </c>
      <c r="H264" s="1" t="s">
        <v>111</v>
      </c>
      <c r="I264" s="2">
        <v>29948.38</v>
      </c>
      <c r="J264" s="2">
        <v>29948.38</v>
      </c>
      <c r="L264" s="12" t="s">
        <v>393</v>
      </c>
      <c r="M264" s="9" t="s">
        <v>117</v>
      </c>
      <c r="N264" s="21">
        <v>15267.09</v>
      </c>
      <c r="O264" s="22">
        <v>15267.09</v>
      </c>
      <c r="P264" s="23">
        <f>Table2[[#This Row],[Sum of Old TB]]-Table2[[#This Row],[Sum of New TB]]</f>
        <v>0</v>
      </c>
    </row>
    <row r="265" customHeight="1" spans="2:16">
      <c r="B265" s="8" t="s">
        <v>407</v>
      </c>
      <c r="C265" s="9" t="s">
        <v>153</v>
      </c>
      <c r="D265" s="1">
        <v>3949.55</v>
      </c>
      <c r="E265" s="9"/>
      <c r="G265" s="1" t="s">
        <v>403</v>
      </c>
      <c r="H265" s="1" t="s">
        <v>404</v>
      </c>
      <c r="J265" s="2">
        <v>500</v>
      </c>
      <c r="L265" s="12" t="s">
        <v>394</v>
      </c>
      <c r="M265" s="9" t="s">
        <v>121</v>
      </c>
      <c r="N265" s="21">
        <v>49205.39</v>
      </c>
      <c r="O265" s="22">
        <v>49205.39</v>
      </c>
      <c r="P265" s="23">
        <f>Table2[[#This Row],[Sum of Old TB]]-Table2[[#This Row],[Sum of New TB]]</f>
        <v>0</v>
      </c>
    </row>
    <row r="266" customHeight="1" spans="2:16">
      <c r="B266" s="8" t="s">
        <v>408</v>
      </c>
      <c r="C266" s="9" t="s">
        <v>157</v>
      </c>
      <c r="D266" s="1">
        <v>1599</v>
      </c>
      <c r="E266" s="9"/>
      <c r="G266" s="1" t="s">
        <v>392</v>
      </c>
      <c r="H266" s="1" t="s">
        <v>113</v>
      </c>
      <c r="I266" s="2">
        <v>18376</v>
      </c>
      <c r="J266" s="2">
        <v>18376</v>
      </c>
      <c r="L266" s="12" t="s">
        <v>395</v>
      </c>
      <c r="M266" s="9" t="s">
        <v>125</v>
      </c>
      <c r="N266" s="21">
        <v>330</v>
      </c>
      <c r="O266" s="22">
        <v>385</v>
      </c>
      <c r="P266" s="23">
        <f>Table2[[#This Row],[Sum of Old TB]]-Table2[[#This Row],[Sum of New TB]]</f>
        <v>-55</v>
      </c>
    </row>
    <row r="267" customHeight="1" spans="2:16">
      <c r="B267" s="8" t="s">
        <v>409</v>
      </c>
      <c r="C267" s="9" t="s">
        <v>163</v>
      </c>
      <c r="D267" s="1">
        <v>18673.11</v>
      </c>
      <c r="E267" s="9"/>
      <c r="G267" s="1" t="s">
        <v>393</v>
      </c>
      <c r="H267" s="1" t="s">
        <v>117</v>
      </c>
      <c r="I267" s="2">
        <v>15267.09</v>
      </c>
      <c r="J267" s="2">
        <v>15267.09</v>
      </c>
      <c r="L267" s="12" t="s">
        <v>396</v>
      </c>
      <c r="M267" s="9" t="s">
        <v>129</v>
      </c>
      <c r="N267" s="21">
        <v>26862.24</v>
      </c>
      <c r="O267" s="22">
        <v>26862.24</v>
      </c>
      <c r="P267" s="23">
        <f>Table2[[#This Row],[Sum of Old TB]]-Table2[[#This Row],[Sum of New TB]]</f>
        <v>0</v>
      </c>
    </row>
    <row r="268" customHeight="1" spans="2:16">
      <c r="B268" s="8" t="s">
        <v>410</v>
      </c>
      <c r="C268" s="9" t="s">
        <v>171</v>
      </c>
      <c r="D268" s="1">
        <v>125.56</v>
      </c>
      <c r="E268" s="9"/>
      <c r="G268" s="1" t="s">
        <v>394</v>
      </c>
      <c r="H268" s="1" t="s">
        <v>121</v>
      </c>
      <c r="I268" s="2">
        <v>49205.39</v>
      </c>
      <c r="J268" s="2">
        <v>49205.39</v>
      </c>
      <c r="L268" s="12" t="s">
        <v>397</v>
      </c>
      <c r="M268" s="9" t="s">
        <v>131</v>
      </c>
      <c r="N268" s="21">
        <v>5401.77</v>
      </c>
      <c r="O268" s="22">
        <v>5401.77</v>
      </c>
      <c r="P268" s="23">
        <f>Table2[[#This Row],[Sum of Old TB]]-Table2[[#This Row],[Sum of New TB]]</f>
        <v>0</v>
      </c>
    </row>
    <row r="269" customHeight="1" spans="2:16">
      <c r="B269" s="8" t="s">
        <v>411</v>
      </c>
      <c r="C269" s="9" t="s">
        <v>175</v>
      </c>
      <c r="D269" s="1">
        <v>17551.37</v>
      </c>
      <c r="E269" s="9"/>
      <c r="G269" s="1" t="s">
        <v>395</v>
      </c>
      <c r="H269" s="1" t="s">
        <v>125</v>
      </c>
      <c r="I269" s="2">
        <v>330</v>
      </c>
      <c r="J269" s="2">
        <v>385</v>
      </c>
      <c r="L269" s="12" t="s">
        <v>398</v>
      </c>
      <c r="M269" s="9" t="s">
        <v>133</v>
      </c>
      <c r="N269" s="21">
        <v>9652.81</v>
      </c>
      <c r="O269" s="22">
        <v>6999.81</v>
      </c>
      <c r="P269" s="23">
        <f>Table2[[#This Row],[Sum of Old TB]]-Table2[[#This Row],[Sum of New TB]]</f>
        <v>2653</v>
      </c>
    </row>
    <row r="270" customHeight="1" spans="2:16">
      <c r="B270" s="8" t="s">
        <v>412</v>
      </c>
      <c r="C270" s="9" t="s">
        <v>177</v>
      </c>
      <c r="D270" s="1">
        <v>270</v>
      </c>
      <c r="E270" s="9"/>
      <c r="G270" s="1" t="s">
        <v>396</v>
      </c>
      <c r="H270" s="1" t="s">
        <v>129</v>
      </c>
      <c r="I270" s="2">
        <v>26862.24</v>
      </c>
      <c r="J270" s="2">
        <v>26862.24</v>
      </c>
      <c r="L270" s="12" t="s">
        <v>399</v>
      </c>
      <c r="M270" s="9" t="s">
        <v>135</v>
      </c>
      <c r="N270" s="21">
        <v>3525.97</v>
      </c>
      <c r="O270" s="22">
        <v>3525.97</v>
      </c>
      <c r="P270" s="23">
        <f>Table2[[#This Row],[Sum of Old TB]]-Table2[[#This Row],[Sum of New TB]]</f>
        <v>0</v>
      </c>
    </row>
    <row r="271" customHeight="1" spans="2:16">
      <c r="B271" s="8" t="s">
        <v>413</v>
      </c>
      <c r="C271" s="9" t="s">
        <v>179</v>
      </c>
      <c r="D271" s="1">
        <v>7223.96</v>
      </c>
      <c r="E271" s="9"/>
      <c r="G271" s="1" t="s">
        <v>397</v>
      </c>
      <c r="H271" s="1" t="s">
        <v>131</v>
      </c>
      <c r="I271" s="2">
        <v>5401.77</v>
      </c>
      <c r="J271" s="2">
        <v>5401.77</v>
      </c>
      <c r="L271" s="12" t="s">
        <v>400</v>
      </c>
      <c r="M271" s="9" t="s">
        <v>137</v>
      </c>
      <c r="N271" s="21">
        <v>-914.2</v>
      </c>
      <c r="O271" s="22">
        <v>-914.2</v>
      </c>
      <c r="P271" s="23">
        <f>Table2[[#This Row],[Sum of Old TB]]-Table2[[#This Row],[Sum of New TB]]</f>
        <v>0</v>
      </c>
    </row>
    <row r="272" customHeight="1" spans="2:16">
      <c r="B272" s="8" t="s">
        <v>414</v>
      </c>
      <c r="C272" s="9" t="s">
        <v>185</v>
      </c>
      <c r="D272" s="1">
        <v>214.63</v>
      </c>
      <c r="E272" s="9"/>
      <c r="G272" s="1" t="s">
        <v>398</v>
      </c>
      <c r="H272" s="1" t="s">
        <v>133</v>
      </c>
      <c r="I272" s="2">
        <v>9652.81</v>
      </c>
      <c r="J272" s="2">
        <v>6999.81</v>
      </c>
      <c r="L272" s="12" t="s">
        <v>401</v>
      </c>
      <c r="M272" s="9" t="s">
        <v>139</v>
      </c>
      <c r="N272" s="21">
        <v>35</v>
      </c>
      <c r="O272" s="22">
        <v>35</v>
      </c>
      <c r="P272" s="23">
        <f>Table2[[#This Row],[Sum of Old TB]]-Table2[[#This Row],[Sum of New TB]]</f>
        <v>0</v>
      </c>
    </row>
    <row r="273" customHeight="1" spans="2:16">
      <c r="B273" s="8" t="s">
        <v>415</v>
      </c>
      <c r="C273" s="9" t="s">
        <v>187</v>
      </c>
      <c r="D273" s="1">
        <v>2298.84</v>
      </c>
      <c r="E273" s="9"/>
      <c r="G273" s="1" t="s">
        <v>399</v>
      </c>
      <c r="H273" s="1" t="s">
        <v>135</v>
      </c>
      <c r="I273" s="2">
        <v>3525.97</v>
      </c>
      <c r="J273" s="2">
        <v>3525.97</v>
      </c>
      <c r="L273" s="12" t="s">
        <v>402</v>
      </c>
      <c r="M273" s="9" t="s">
        <v>143</v>
      </c>
      <c r="N273" s="21">
        <v>230.1</v>
      </c>
      <c r="O273" s="22">
        <v>230.1</v>
      </c>
      <c r="P273" s="23">
        <f>Table2[[#This Row],[Sum of Old TB]]-Table2[[#This Row],[Sum of New TB]]</f>
        <v>0</v>
      </c>
    </row>
    <row r="274" customHeight="1" spans="2:16">
      <c r="B274" s="8" t="s">
        <v>416</v>
      </c>
      <c r="C274" s="9" t="s">
        <v>417</v>
      </c>
      <c r="D274" s="1">
        <v>7942.22</v>
      </c>
      <c r="E274" s="9"/>
      <c r="G274" s="1" t="s">
        <v>400</v>
      </c>
      <c r="H274" s="1" t="s">
        <v>137</v>
      </c>
      <c r="I274" s="2">
        <v>-914.2</v>
      </c>
      <c r="J274" s="2">
        <v>-914.2</v>
      </c>
      <c r="L274" s="12" t="s">
        <v>405</v>
      </c>
      <c r="M274" s="9" t="s">
        <v>145</v>
      </c>
      <c r="N274" s="21">
        <v>9600</v>
      </c>
      <c r="O274" s="22">
        <v>9600</v>
      </c>
      <c r="P274" s="23">
        <f>Table2[[#This Row],[Sum of Old TB]]-Table2[[#This Row],[Sum of New TB]]</f>
        <v>0</v>
      </c>
    </row>
    <row r="275" customHeight="1" spans="2:16">
      <c r="B275" s="8" t="s">
        <v>418</v>
      </c>
      <c r="C275" s="9" t="s">
        <v>197</v>
      </c>
      <c r="D275" s="1">
        <v>17387.71</v>
      </c>
      <c r="E275" s="9"/>
      <c r="G275" s="1" t="s">
        <v>401</v>
      </c>
      <c r="H275" s="1" t="s">
        <v>139</v>
      </c>
      <c r="I275" s="2">
        <v>35</v>
      </c>
      <c r="J275" s="2">
        <v>35</v>
      </c>
      <c r="L275" s="12" t="s">
        <v>406</v>
      </c>
      <c r="M275" s="9" t="s">
        <v>147</v>
      </c>
      <c r="N275" s="21">
        <v>12536.82</v>
      </c>
      <c r="O275" s="22">
        <v>12536.82</v>
      </c>
      <c r="P275" s="23">
        <f>Table2[[#This Row],[Sum of Old TB]]-Table2[[#This Row],[Sum of New TB]]</f>
        <v>0</v>
      </c>
    </row>
    <row r="276" customHeight="1" spans="2:16">
      <c r="B276" s="8" t="s">
        <v>419</v>
      </c>
      <c r="C276" s="9" t="s">
        <v>105</v>
      </c>
      <c r="D276" s="1">
        <v>38580.74</v>
      </c>
      <c r="E276" s="9"/>
      <c r="G276" s="1" t="s">
        <v>402</v>
      </c>
      <c r="H276" s="1" t="s">
        <v>143</v>
      </c>
      <c r="I276" s="2">
        <v>230.1</v>
      </c>
      <c r="J276" s="2">
        <v>230.1</v>
      </c>
      <c r="L276" s="12" t="s">
        <v>407</v>
      </c>
      <c r="M276" s="9" t="s">
        <v>153</v>
      </c>
      <c r="N276" s="21">
        <v>3949.55</v>
      </c>
      <c r="O276" s="22">
        <v>3949.55</v>
      </c>
      <c r="P276" s="23">
        <f>Table2[[#This Row],[Sum of Old TB]]-Table2[[#This Row],[Sum of New TB]]</f>
        <v>0</v>
      </c>
    </row>
    <row r="277" customHeight="1" spans="2:16">
      <c r="B277" s="8" t="s">
        <v>420</v>
      </c>
      <c r="C277" s="9" t="s">
        <v>421</v>
      </c>
      <c r="D277" s="1">
        <v>11359.21</v>
      </c>
      <c r="E277" s="9"/>
      <c r="G277" s="1" t="s">
        <v>405</v>
      </c>
      <c r="H277" s="1" t="s">
        <v>145</v>
      </c>
      <c r="I277" s="2">
        <v>9600</v>
      </c>
      <c r="J277" s="2">
        <v>9600</v>
      </c>
      <c r="L277" s="12" t="s">
        <v>408</v>
      </c>
      <c r="M277" s="9" t="s">
        <v>157</v>
      </c>
      <c r="N277" s="21">
        <v>1599</v>
      </c>
      <c r="O277" s="22">
        <v>1599</v>
      </c>
      <c r="P277" s="23">
        <f>Table2[[#This Row],[Sum of Old TB]]-Table2[[#This Row],[Sum of New TB]]</f>
        <v>0</v>
      </c>
    </row>
    <row r="278" customHeight="1" spans="2:16">
      <c r="B278" s="8" t="s">
        <v>422</v>
      </c>
      <c r="C278" s="9" t="s">
        <v>423</v>
      </c>
      <c r="D278" s="1">
        <v>2530.8</v>
      </c>
      <c r="E278" s="9"/>
      <c r="G278" s="1" t="s">
        <v>406</v>
      </c>
      <c r="H278" s="1" t="s">
        <v>147</v>
      </c>
      <c r="I278" s="2">
        <v>12536.82</v>
      </c>
      <c r="J278" s="2">
        <v>12536.82</v>
      </c>
      <c r="L278" s="12" t="s">
        <v>424</v>
      </c>
      <c r="M278" s="9" t="s">
        <v>161</v>
      </c>
      <c r="N278" s="21"/>
      <c r="O278" s="22">
        <v>2653</v>
      </c>
      <c r="P278" s="23">
        <f>Table2[[#This Row],[Sum of Old TB]]-Table2[[#This Row],[Sum of New TB]]</f>
        <v>-2653</v>
      </c>
    </row>
    <row r="279" customHeight="1" spans="2:16">
      <c r="B279" s="8" t="s">
        <v>425</v>
      </c>
      <c r="C279" s="9" t="s">
        <v>377</v>
      </c>
      <c r="D279" s="1">
        <v>5233.61</v>
      </c>
      <c r="E279" s="9"/>
      <c r="G279" s="1" t="s">
        <v>407</v>
      </c>
      <c r="H279" s="1" t="s">
        <v>153</v>
      </c>
      <c r="I279" s="2">
        <v>3949.55</v>
      </c>
      <c r="J279" s="2">
        <v>3949.55</v>
      </c>
      <c r="L279" s="12" t="s">
        <v>409</v>
      </c>
      <c r="M279" s="9" t="s">
        <v>163</v>
      </c>
      <c r="N279" s="21">
        <v>18673.11</v>
      </c>
      <c r="O279" s="22">
        <v>18673.11</v>
      </c>
      <c r="P279" s="23">
        <f>Table2[[#This Row],[Sum of Old TB]]-Table2[[#This Row],[Sum of New TB]]</f>
        <v>0</v>
      </c>
    </row>
    <row r="280" customHeight="1" spans="2:16">
      <c r="B280" s="8" t="s">
        <v>426</v>
      </c>
      <c r="C280" s="9" t="s">
        <v>275</v>
      </c>
      <c r="D280" s="1">
        <v>46062.85</v>
      </c>
      <c r="E280" s="9"/>
      <c r="G280" s="1" t="s">
        <v>408</v>
      </c>
      <c r="H280" s="1" t="s">
        <v>157</v>
      </c>
      <c r="I280" s="2">
        <v>1599</v>
      </c>
      <c r="J280" s="2">
        <v>1599</v>
      </c>
      <c r="L280" s="12" t="s">
        <v>410</v>
      </c>
      <c r="M280" s="9" t="s">
        <v>171</v>
      </c>
      <c r="N280" s="21">
        <v>125.56</v>
      </c>
      <c r="O280" s="22">
        <v>125.56</v>
      </c>
      <c r="P280" s="23">
        <f>Table2[[#This Row],[Sum of Old TB]]-Table2[[#This Row],[Sum of New TB]]</f>
        <v>0</v>
      </c>
    </row>
    <row r="281" customHeight="1" spans="2:16">
      <c r="B281" s="8" t="s">
        <v>427</v>
      </c>
      <c r="C281" s="9" t="s">
        <v>69</v>
      </c>
      <c r="D281" s="1">
        <v>-3908.28</v>
      </c>
      <c r="E281" s="9"/>
      <c r="G281" s="1" t="s">
        <v>424</v>
      </c>
      <c r="H281" s="1" t="s">
        <v>161</v>
      </c>
      <c r="J281" s="2">
        <v>2653</v>
      </c>
      <c r="L281" s="12" t="s">
        <v>411</v>
      </c>
      <c r="M281" s="9" t="s">
        <v>175</v>
      </c>
      <c r="N281" s="21">
        <v>17551.37</v>
      </c>
      <c r="O281" s="22">
        <v>17551.37</v>
      </c>
      <c r="P281" s="23">
        <f>Table2[[#This Row],[Sum of Old TB]]-Table2[[#This Row],[Sum of New TB]]</f>
        <v>0</v>
      </c>
    </row>
    <row r="282" customHeight="1" spans="2:16">
      <c r="B282" s="8" t="s">
        <v>428</v>
      </c>
      <c r="C282" s="9" t="s">
        <v>107</v>
      </c>
      <c r="D282" s="1">
        <v>1351.5</v>
      </c>
      <c r="E282" s="9"/>
      <c r="G282" s="1" t="s">
        <v>409</v>
      </c>
      <c r="H282" s="1" t="s">
        <v>163</v>
      </c>
      <c r="I282" s="2">
        <v>18673.11</v>
      </c>
      <c r="J282" s="2">
        <v>18673.11</v>
      </c>
      <c r="L282" s="12" t="s">
        <v>412</v>
      </c>
      <c r="M282" s="9" t="s">
        <v>177</v>
      </c>
      <c r="N282" s="21">
        <v>270</v>
      </c>
      <c r="O282" s="22">
        <v>270</v>
      </c>
      <c r="P282" s="23">
        <f>Table2[[#This Row],[Sum of Old TB]]-Table2[[#This Row],[Sum of New TB]]</f>
        <v>0</v>
      </c>
    </row>
    <row r="283" customHeight="1" spans="2:16">
      <c r="B283" s="8" t="s">
        <v>429</v>
      </c>
      <c r="C283" s="9" t="s">
        <v>109</v>
      </c>
      <c r="D283" s="1">
        <v>147.78</v>
      </c>
      <c r="E283" s="9"/>
      <c r="G283" s="1" t="s">
        <v>410</v>
      </c>
      <c r="H283" s="1" t="s">
        <v>171</v>
      </c>
      <c r="I283" s="2">
        <v>125.56</v>
      </c>
      <c r="J283" s="2">
        <v>125.56</v>
      </c>
      <c r="L283" s="12" t="s">
        <v>413</v>
      </c>
      <c r="M283" s="9" t="s">
        <v>179</v>
      </c>
      <c r="N283" s="21">
        <v>7223.96</v>
      </c>
      <c r="O283" s="22">
        <v>7223.96</v>
      </c>
      <c r="P283" s="23">
        <f>Table2[[#This Row],[Sum of Old TB]]-Table2[[#This Row],[Sum of New TB]]</f>
        <v>0</v>
      </c>
    </row>
    <row r="284" customHeight="1" spans="2:16">
      <c r="B284" s="8" t="s">
        <v>430</v>
      </c>
      <c r="C284" s="9" t="s">
        <v>431</v>
      </c>
      <c r="D284" s="1">
        <v>2409</v>
      </c>
      <c r="E284" s="9"/>
      <c r="G284" s="1" t="s">
        <v>411</v>
      </c>
      <c r="H284" s="1" t="s">
        <v>175</v>
      </c>
      <c r="I284" s="2">
        <v>17551.37</v>
      </c>
      <c r="J284" s="2">
        <v>17551.37</v>
      </c>
      <c r="L284" s="12" t="s">
        <v>414</v>
      </c>
      <c r="M284" s="9" t="s">
        <v>185</v>
      </c>
      <c r="N284" s="21">
        <v>214.63</v>
      </c>
      <c r="O284" s="22">
        <v>214.63</v>
      </c>
      <c r="P284" s="23">
        <f>Table2[[#This Row],[Sum of Old TB]]-Table2[[#This Row],[Sum of New TB]]</f>
        <v>0</v>
      </c>
    </row>
    <row r="285" customHeight="1" spans="2:16">
      <c r="B285" s="8" t="s">
        <v>432</v>
      </c>
      <c r="C285" s="9" t="s">
        <v>40</v>
      </c>
      <c r="D285" s="1">
        <v>150905.46</v>
      </c>
      <c r="E285" s="9"/>
      <c r="G285" s="1" t="s">
        <v>412</v>
      </c>
      <c r="H285" s="1" t="s">
        <v>177</v>
      </c>
      <c r="I285" s="2">
        <v>270</v>
      </c>
      <c r="J285" s="2">
        <v>270</v>
      </c>
      <c r="L285" s="12" t="s">
        <v>415</v>
      </c>
      <c r="M285" s="9" t="s">
        <v>187</v>
      </c>
      <c r="N285" s="21">
        <v>2298.84</v>
      </c>
      <c r="O285" s="22">
        <v>2298.84</v>
      </c>
      <c r="P285" s="23">
        <f>Table2[[#This Row],[Sum of Old TB]]-Table2[[#This Row],[Sum of New TB]]</f>
        <v>0</v>
      </c>
    </row>
    <row r="286" customHeight="1" spans="2:16">
      <c r="B286" s="8" t="s">
        <v>433</v>
      </c>
      <c r="C286" s="9" t="s">
        <v>42</v>
      </c>
      <c r="D286" s="1">
        <v>-2516.97</v>
      </c>
      <c r="E286" s="9"/>
      <c r="G286" s="1" t="s">
        <v>413</v>
      </c>
      <c r="H286" s="1" t="s">
        <v>179</v>
      </c>
      <c r="I286" s="2">
        <v>7223.96</v>
      </c>
      <c r="J286" s="2">
        <v>7223.96</v>
      </c>
      <c r="L286" s="12" t="s">
        <v>416</v>
      </c>
      <c r="M286" s="9" t="s">
        <v>417</v>
      </c>
      <c r="N286" s="21">
        <v>7942.22</v>
      </c>
      <c r="O286" s="22">
        <v>7942.22</v>
      </c>
      <c r="P286" s="23">
        <f>Table2[[#This Row],[Sum of Old TB]]-Table2[[#This Row],[Sum of New TB]]</f>
        <v>0</v>
      </c>
    </row>
    <row r="287" customHeight="1" spans="2:16">
      <c r="B287" s="8" t="s">
        <v>434</v>
      </c>
      <c r="C287" s="9" t="s">
        <v>228</v>
      </c>
      <c r="D287" s="1">
        <v>-148388.49</v>
      </c>
      <c r="E287" s="9"/>
      <c r="G287" s="1" t="s">
        <v>414</v>
      </c>
      <c r="H287" s="1" t="s">
        <v>185</v>
      </c>
      <c r="I287" s="2">
        <v>214.63</v>
      </c>
      <c r="J287" s="2">
        <v>214.63</v>
      </c>
      <c r="L287" s="12" t="s">
        <v>418</v>
      </c>
      <c r="M287" s="9" t="s">
        <v>197</v>
      </c>
      <c r="N287" s="21">
        <v>17387.71</v>
      </c>
      <c r="O287" s="22">
        <v>17387.71</v>
      </c>
      <c r="P287" s="23">
        <f>Table2[[#This Row],[Sum of Old TB]]-Table2[[#This Row],[Sum of New TB]]</f>
        <v>0</v>
      </c>
    </row>
    <row r="288" customHeight="1" spans="2:16">
      <c r="B288" s="8" t="s">
        <v>435</v>
      </c>
      <c r="C288" s="9" t="s">
        <v>69</v>
      </c>
      <c r="D288" s="1">
        <v>-40935.87</v>
      </c>
      <c r="E288" s="9"/>
      <c r="G288" s="1" t="s">
        <v>415</v>
      </c>
      <c r="H288" s="1" t="s">
        <v>187</v>
      </c>
      <c r="I288" s="2">
        <v>2298.84</v>
      </c>
      <c r="J288" s="2">
        <v>2298.84</v>
      </c>
      <c r="L288" s="12" t="s">
        <v>419</v>
      </c>
      <c r="M288" s="9" t="s">
        <v>105</v>
      </c>
      <c r="N288" s="21">
        <v>38580.74</v>
      </c>
      <c r="O288" s="22">
        <v>38580.74</v>
      </c>
      <c r="P288" s="23">
        <f>Table2[[#This Row],[Sum of Old TB]]-Table2[[#This Row],[Sum of New TB]]</f>
        <v>0</v>
      </c>
    </row>
    <row r="289" customHeight="1" spans="2:16">
      <c r="B289" s="8" t="s">
        <v>436</v>
      </c>
      <c r="C289" s="9" t="s">
        <v>133</v>
      </c>
      <c r="D289" s="1">
        <v>40935.87</v>
      </c>
      <c r="E289" s="9"/>
      <c r="G289" s="1" t="s">
        <v>416</v>
      </c>
      <c r="H289" s="1" t="s">
        <v>417</v>
      </c>
      <c r="I289" s="2">
        <v>7942.22</v>
      </c>
      <c r="J289" s="2">
        <v>7942.22</v>
      </c>
      <c r="L289" s="12" t="s">
        <v>420</v>
      </c>
      <c r="M289" s="9" t="s">
        <v>421</v>
      </c>
      <c r="N289" s="21">
        <v>11359.21</v>
      </c>
      <c r="O289" s="22">
        <v>11359.21</v>
      </c>
      <c r="P289" s="23">
        <f>Table2[[#This Row],[Sum of Old TB]]-Table2[[#This Row],[Sum of New TB]]</f>
        <v>0</v>
      </c>
    </row>
    <row r="290" customHeight="1" spans="2:16">
      <c r="B290" s="8" t="s">
        <v>437</v>
      </c>
      <c r="C290" s="9" t="s">
        <v>40</v>
      </c>
      <c r="D290" s="1">
        <v>73672.61</v>
      </c>
      <c r="E290" s="9"/>
      <c r="G290" s="1" t="s">
        <v>418</v>
      </c>
      <c r="H290" s="1" t="s">
        <v>197</v>
      </c>
      <c r="I290" s="2">
        <v>17387.71</v>
      </c>
      <c r="J290" s="2">
        <v>17387.71</v>
      </c>
      <c r="L290" s="12" t="s">
        <v>422</v>
      </c>
      <c r="M290" s="9" t="s">
        <v>423</v>
      </c>
      <c r="N290" s="21">
        <v>2530.8</v>
      </c>
      <c r="O290" s="22">
        <v>2530.8</v>
      </c>
      <c r="P290" s="23">
        <f>Table2[[#This Row],[Sum of Old TB]]-Table2[[#This Row],[Sum of New TB]]</f>
        <v>0</v>
      </c>
    </row>
    <row r="291" customHeight="1" spans="2:16">
      <c r="B291" s="8" t="s">
        <v>438</v>
      </c>
      <c r="C291" s="9" t="s">
        <v>42</v>
      </c>
      <c r="D291" s="1">
        <v>-4306.4</v>
      </c>
      <c r="E291" s="9"/>
      <c r="G291" s="1" t="s">
        <v>419</v>
      </c>
      <c r="H291" s="1" t="s">
        <v>105</v>
      </c>
      <c r="I291" s="2">
        <v>38580.74</v>
      </c>
      <c r="J291" s="2">
        <v>38580.74</v>
      </c>
      <c r="L291" s="12" t="s">
        <v>425</v>
      </c>
      <c r="M291" s="9" t="s">
        <v>377</v>
      </c>
      <c r="N291" s="21">
        <v>5233.61</v>
      </c>
      <c r="O291" s="22">
        <v>5233.61</v>
      </c>
      <c r="P291" s="23">
        <f>Table2[[#This Row],[Sum of Old TB]]-Table2[[#This Row],[Sum of New TB]]</f>
        <v>0</v>
      </c>
    </row>
    <row r="292" customHeight="1" spans="2:16">
      <c r="B292" s="8" t="s">
        <v>439</v>
      </c>
      <c r="C292" s="9" t="s">
        <v>228</v>
      </c>
      <c r="D292" s="1">
        <v>-69366.21</v>
      </c>
      <c r="E292" s="9"/>
      <c r="G292" s="1" t="s">
        <v>420</v>
      </c>
      <c r="H292" s="1" t="s">
        <v>421</v>
      </c>
      <c r="I292" s="2">
        <v>11359.21</v>
      </c>
      <c r="J292" s="2">
        <v>11359.21</v>
      </c>
      <c r="L292" s="12" t="s">
        <v>426</v>
      </c>
      <c r="M292" s="9" t="s">
        <v>275</v>
      </c>
      <c r="N292" s="21">
        <v>46062.85</v>
      </c>
      <c r="O292" s="22">
        <v>46062.85</v>
      </c>
      <c r="P292" s="23">
        <f>Table2[[#This Row],[Sum of Old TB]]-Table2[[#This Row],[Sum of New TB]]</f>
        <v>0</v>
      </c>
    </row>
    <row r="293" customHeight="1" spans="2:16">
      <c r="B293" s="8" t="s">
        <v>440</v>
      </c>
      <c r="C293" s="9" t="s">
        <v>69</v>
      </c>
      <c r="D293" s="1">
        <v>-48852.02</v>
      </c>
      <c r="E293" s="9"/>
      <c r="G293" s="1" t="s">
        <v>422</v>
      </c>
      <c r="H293" s="1" t="s">
        <v>423</v>
      </c>
      <c r="I293" s="2">
        <v>2530.8</v>
      </c>
      <c r="J293" s="2">
        <v>2530.8</v>
      </c>
      <c r="L293" s="12" t="s">
        <v>427</v>
      </c>
      <c r="M293" s="9" t="s">
        <v>69</v>
      </c>
      <c r="N293" s="21">
        <v>-3908.28</v>
      </c>
      <c r="O293" s="22">
        <v>-3908.28</v>
      </c>
      <c r="P293" s="23">
        <f>Table2[[#This Row],[Sum of Old TB]]-Table2[[#This Row],[Sum of New TB]]</f>
        <v>0</v>
      </c>
    </row>
    <row r="294" customHeight="1" spans="2:16">
      <c r="B294" s="8" t="s">
        <v>441</v>
      </c>
      <c r="C294" s="9" t="s">
        <v>185</v>
      </c>
      <c r="D294" s="1">
        <v>48852.02</v>
      </c>
      <c r="E294" s="9"/>
      <c r="G294" s="1" t="s">
        <v>425</v>
      </c>
      <c r="H294" s="1" t="s">
        <v>377</v>
      </c>
      <c r="I294" s="2">
        <v>5233.61</v>
      </c>
      <c r="J294" s="2">
        <v>5233.61</v>
      </c>
      <c r="L294" s="12" t="s">
        <v>428</v>
      </c>
      <c r="M294" s="9" t="s">
        <v>107</v>
      </c>
      <c r="N294" s="21">
        <v>1351.5</v>
      </c>
      <c r="O294" s="22">
        <v>1351.5</v>
      </c>
      <c r="P294" s="23">
        <f>Table2[[#This Row],[Sum of Old TB]]-Table2[[#This Row],[Sum of New TB]]</f>
        <v>0</v>
      </c>
    </row>
    <row r="295" customHeight="1" spans="2:16">
      <c r="B295" s="8" t="s">
        <v>442</v>
      </c>
      <c r="C295" s="9" t="s">
        <v>277</v>
      </c>
      <c r="D295" s="1">
        <v>59011.55</v>
      </c>
      <c r="E295" s="9"/>
      <c r="G295" s="1" t="s">
        <v>426</v>
      </c>
      <c r="H295" s="1" t="s">
        <v>275</v>
      </c>
      <c r="I295" s="2">
        <v>46062.85</v>
      </c>
      <c r="J295" s="2">
        <v>46062.85</v>
      </c>
      <c r="L295" s="12" t="s">
        <v>429</v>
      </c>
      <c r="M295" s="9" t="s">
        <v>109</v>
      </c>
      <c r="N295" s="21">
        <v>147.78</v>
      </c>
      <c r="O295" s="22">
        <v>147.78</v>
      </c>
      <c r="P295" s="23">
        <f>Table2[[#This Row],[Sum of Old TB]]-Table2[[#This Row],[Sum of New TB]]</f>
        <v>0</v>
      </c>
    </row>
    <row r="296" customHeight="1" spans="2:16">
      <c r="B296" s="8" t="s">
        <v>443</v>
      </c>
      <c r="C296" s="9" t="s">
        <v>40</v>
      </c>
      <c r="D296" s="1">
        <v>-55578.98</v>
      </c>
      <c r="E296" s="9"/>
      <c r="G296" s="1" t="s">
        <v>427</v>
      </c>
      <c r="H296" s="1" t="s">
        <v>69</v>
      </c>
      <c r="I296" s="2">
        <v>-3908.28</v>
      </c>
      <c r="J296" s="2">
        <v>-3908.28</v>
      </c>
      <c r="L296" s="12" t="s">
        <v>430</v>
      </c>
      <c r="M296" s="9" t="s">
        <v>431</v>
      </c>
      <c r="N296" s="21">
        <v>2409</v>
      </c>
      <c r="O296" s="22">
        <v>2409</v>
      </c>
      <c r="P296" s="23">
        <f>Table2[[#This Row],[Sum of Old TB]]-Table2[[#This Row],[Sum of New TB]]</f>
        <v>0</v>
      </c>
    </row>
    <row r="297" customHeight="1" spans="2:16">
      <c r="B297" s="8" t="s">
        <v>444</v>
      </c>
      <c r="C297" s="9" t="s">
        <v>42</v>
      </c>
      <c r="D297" s="1">
        <v>-3498.24</v>
      </c>
      <c r="E297" s="9"/>
      <c r="G297" s="1" t="s">
        <v>428</v>
      </c>
      <c r="H297" s="1" t="s">
        <v>107</v>
      </c>
      <c r="I297" s="2">
        <v>1351.5</v>
      </c>
      <c r="J297" s="2">
        <v>1351.5</v>
      </c>
      <c r="L297" s="12" t="s">
        <v>432</v>
      </c>
      <c r="M297" s="9" t="s">
        <v>40</v>
      </c>
      <c r="N297" s="21">
        <v>150905.46</v>
      </c>
      <c r="O297" s="22">
        <v>150905.46</v>
      </c>
      <c r="P297" s="23">
        <f>Table2[[#This Row],[Sum of Old TB]]-Table2[[#This Row],[Sum of New TB]]</f>
        <v>0</v>
      </c>
    </row>
    <row r="298" customHeight="1" spans="2:16">
      <c r="B298" s="8" t="s">
        <v>445</v>
      </c>
      <c r="C298" s="9" t="s">
        <v>55</v>
      </c>
      <c r="D298" s="1">
        <v>65.67</v>
      </c>
      <c r="E298" s="9"/>
      <c r="G298" s="1" t="s">
        <v>429</v>
      </c>
      <c r="H298" s="1" t="s">
        <v>109</v>
      </c>
      <c r="I298" s="2">
        <v>147.78</v>
      </c>
      <c r="J298" s="2">
        <v>147.78</v>
      </c>
      <c r="L298" s="12" t="s">
        <v>433</v>
      </c>
      <c r="M298" s="9" t="s">
        <v>42</v>
      </c>
      <c r="N298" s="21">
        <v>-2516.97</v>
      </c>
      <c r="O298" s="22">
        <v>-2516.97</v>
      </c>
      <c r="P298" s="23">
        <f>Table2[[#This Row],[Sum of Old TB]]-Table2[[#This Row],[Sum of New TB]]</f>
        <v>0</v>
      </c>
    </row>
    <row r="299" customHeight="1" spans="2:16">
      <c r="B299" s="8" t="s">
        <v>446</v>
      </c>
      <c r="C299" s="9" t="s">
        <v>69</v>
      </c>
      <c r="D299" s="1">
        <v>-666157.35</v>
      </c>
      <c r="E299" s="9"/>
      <c r="G299" s="1" t="s">
        <v>430</v>
      </c>
      <c r="H299" s="1" t="s">
        <v>431</v>
      </c>
      <c r="I299" s="2">
        <v>2409</v>
      </c>
      <c r="J299" s="2">
        <v>2409</v>
      </c>
      <c r="L299" s="12" t="s">
        <v>434</v>
      </c>
      <c r="M299" s="9" t="s">
        <v>228</v>
      </c>
      <c r="N299" s="21">
        <v>-148388.49</v>
      </c>
      <c r="O299" s="22">
        <v>-148388.49</v>
      </c>
      <c r="P299" s="23">
        <f>Table2[[#This Row],[Sum of Old TB]]-Table2[[#This Row],[Sum of New TB]]</f>
        <v>0</v>
      </c>
    </row>
    <row r="300" customHeight="1" spans="2:16">
      <c r="B300" s="8" t="s">
        <v>447</v>
      </c>
      <c r="C300" s="9" t="s">
        <v>107</v>
      </c>
      <c r="D300" s="1">
        <v>438456.47</v>
      </c>
      <c r="E300" s="9"/>
      <c r="G300" s="1" t="s">
        <v>432</v>
      </c>
      <c r="H300" s="1" t="s">
        <v>40</v>
      </c>
      <c r="I300" s="2">
        <v>150905.46</v>
      </c>
      <c r="J300" s="2">
        <v>150905.46</v>
      </c>
      <c r="L300" s="12" t="s">
        <v>435</v>
      </c>
      <c r="M300" s="9" t="s">
        <v>69</v>
      </c>
      <c r="N300" s="21">
        <v>-40935.87</v>
      </c>
      <c r="O300" s="22">
        <v>-40935.87</v>
      </c>
      <c r="P300" s="23">
        <f>Table2[[#This Row],[Sum of Old TB]]-Table2[[#This Row],[Sum of New TB]]</f>
        <v>0</v>
      </c>
    </row>
    <row r="301" customHeight="1" spans="2:16">
      <c r="B301" s="8" t="s">
        <v>448</v>
      </c>
      <c r="C301" s="9" t="s">
        <v>109</v>
      </c>
      <c r="D301" s="1">
        <v>36287.63</v>
      </c>
      <c r="E301" s="9"/>
      <c r="G301" s="1" t="s">
        <v>433</v>
      </c>
      <c r="H301" s="1" t="s">
        <v>42</v>
      </c>
      <c r="I301" s="2">
        <v>-2516.97</v>
      </c>
      <c r="J301" s="2">
        <v>-2516.97</v>
      </c>
      <c r="L301" s="12" t="s">
        <v>436</v>
      </c>
      <c r="M301" s="9" t="s">
        <v>133</v>
      </c>
      <c r="N301" s="21">
        <v>40935.87</v>
      </c>
      <c r="O301" s="22">
        <v>3456.87</v>
      </c>
      <c r="P301" s="23">
        <f>Table2[[#This Row],[Sum of Old TB]]-Table2[[#This Row],[Sum of New TB]]</f>
        <v>37479</v>
      </c>
    </row>
    <row r="302" customHeight="1" spans="2:16">
      <c r="B302" s="8" t="s">
        <v>449</v>
      </c>
      <c r="C302" s="9" t="s">
        <v>111</v>
      </c>
      <c r="D302" s="1">
        <v>63527.77</v>
      </c>
      <c r="E302" s="9"/>
      <c r="G302" s="1" t="s">
        <v>434</v>
      </c>
      <c r="H302" s="1" t="s">
        <v>228</v>
      </c>
      <c r="I302" s="2">
        <v>-148388.49</v>
      </c>
      <c r="J302" s="2">
        <v>-148388.49</v>
      </c>
      <c r="L302" s="12" t="s">
        <v>450</v>
      </c>
      <c r="M302" s="9" t="s">
        <v>161</v>
      </c>
      <c r="N302" s="21"/>
      <c r="O302" s="22">
        <v>25103</v>
      </c>
      <c r="P302" s="23">
        <f>Table2[[#This Row],[Sum of Old TB]]-Table2[[#This Row],[Sum of New TB]]</f>
        <v>-25103</v>
      </c>
    </row>
    <row r="303" customHeight="1" spans="2:16">
      <c r="B303" s="8" t="s">
        <v>451</v>
      </c>
      <c r="C303" s="9" t="s">
        <v>117</v>
      </c>
      <c r="D303" s="1">
        <v>1794.53</v>
      </c>
      <c r="E303" s="9"/>
      <c r="G303" s="1" t="s">
        <v>435</v>
      </c>
      <c r="H303" s="1" t="s">
        <v>69</v>
      </c>
      <c r="I303" s="2">
        <v>-40935.87</v>
      </c>
      <c r="J303" s="2">
        <v>-40935.87</v>
      </c>
      <c r="L303" s="12" t="s">
        <v>452</v>
      </c>
      <c r="M303" s="9" t="s">
        <v>218</v>
      </c>
      <c r="N303" s="21"/>
      <c r="O303" s="22">
        <v>12376</v>
      </c>
      <c r="P303" s="23">
        <f>Table2[[#This Row],[Sum of Old TB]]-Table2[[#This Row],[Sum of New TB]]</f>
        <v>-12376</v>
      </c>
    </row>
    <row r="304" customHeight="1" spans="2:16">
      <c r="B304" s="8" t="s">
        <v>453</v>
      </c>
      <c r="C304" s="9" t="s">
        <v>121</v>
      </c>
      <c r="D304" s="1">
        <v>1045</v>
      </c>
      <c r="E304" s="9"/>
      <c r="G304" s="1" t="s">
        <v>436</v>
      </c>
      <c r="H304" s="1" t="s">
        <v>133</v>
      </c>
      <c r="I304" s="2">
        <v>40935.87</v>
      </c>
      <c r="J304" s="2">
        <v>3456.87</v>
      </c>
      <c r="L304" s="12" t="s">
        <v>437</v>
      </c>
      <c r="M304" s="9" t="s">
        <v>40</v>
      </c>
      <c r="N304" s="21">
        <v>73672.61</v>
      </c>
      <c r="O304" s="22">
        <v>73672.61</v>
      </c>
      <c r="P304" s="23">
        <f>Table2[[#This Row],[Sum of Old TB]]-Table2[[#This Row],[Sum of New TB]]</f>
        <v>0</v>
      </c>
    </row>
    <row r="305" customHeight="1" spans="2:16">
      <c r="B305" s="8" t="s">
        <v>454</v>
      </c>
      <c r="C305" s="9" t="s">
        <v>125</v>
      </c>
      <c r="D305" s="1">
        <v>1664.22</v>
      </c>
      <c r="E305" s="9"/>
      <c r="G305" s="1" t="s">
        <v>450</v>
      </c>
      <c r="H305" s="1" t="s">
        <v>161</v>
      </c>
      <c r="J305" s="2">
        <v>25103</v>
      </c>
      <c r="L305" s="12" t="s">
        <v>438</v>
      </c>
      <c r="M305" s="9" t="s">
        <v>42</v>
      </c>
      <c r="N305" s="21">
        <v>-4306.4</v>
      </c>
      <c r="O305" s="22">
        <v>-4306.4</v>
      </c>
      <c r="P305" s="23">
        <f>Table2[[#This Row],[Sum of Old TB]]-Table2[[#This Row],[Sum of New TB]]</f>
        <v>0</v>
      </c>
    </row>
    <row r="306" customHeight="1" spans="2:16">
      <c r="B306" s="8" t="s">
        <v>455</v>
      </c>
      <c r="C306" s="9" t="s">
        <v>129</v>
      </c>
      <c r="D306" s="1">
        <v>6564.65</v>
      </c>
      <c r="E306" s="9"/>
      <c r="G306" s="1" t="s">
        <v>452</v>
      </c>
      <c r="H306" s="1" t="s">
        <v>218</v>
      </c>
      <c r="J306" s="2">
        <v>12376</v>
      </c>
      <c r="L306" s="12" t="s">
        <v>439</v>
      </c>
      <c r="M306" s="9" t="s">
        <v>228</v>
      </c>
      <c r="N306" s="21">
        <v>-69366.21</v>
      </c>
      <c r="O306" s="22">
        <v>-69366.21</v>
      </c>
      <c r="P306" s="23">
        <f>Table2[[#This Row],[Sum of Old TB]]-Table2[[#This Row],[Sum of New TB]]</f>
        <v>0</v>
      </c>
    </row>
    <row r="307" customHeight="1" spans="2:16">
      <c r="B307" s="8" t="s">
        <v>456</v>
      </c>
      <c r="C307" s="9" t="s">
        <v>309</v>
      </c>
      <c r="D307" s="1">
        <v>1500</v>
      </c>
      <c r="E307" s="9"/>
      <c r="G307" s="1" t="s">
        <v>437</v>
      </c>
      <c r="H307" s="1" t="s">
        <v>40</v>
      </c>
      <c r="I307" s="2">
        <v>73672.61</v>
      </c>
      <c r="J307" s="2">
        <v>73672.61</v>
      </c>
      <c r="L307" s="12" t="s">
        <v>440</v>
      </c>
      <c r="M307" s="9" t="s">
        <v>69</v>
      </c>
      <c r="N307" s="21">
        <v>-48852.02</v>
      </c>
      <c r="O307" s="22">
        <v>-48852.02</v>
      </c>
      <c r="P307" s="23">
        <f>Table2[[#This Row],[Sum of Old TB]]-Table2[[#This Row],[Sum of New TB]]</f>
        <v>0</v>
      </c>
    </row>
    <row r="308" customHeight="1" spans="2:16">
      <c r="B308" s="8" t="s">
        <v>457</v>
      </c>
      <c r="C308" s="9" t="s">
        <v>458</v>
      </c>
      <c r="D308" s="1">
        <v>791.38</v>
      </c>
      <c r="E308" s="9"/>
      <c r="G308" s="1" t="s">
        <v>438</v>
      </c>
      <c r="H308" s="1" t="s">
        <v>42</v>
      </c>
      <c r="I308" s="2">
        <v>-4306.4</v>
      </c>
      <c r="J308" s="2">
        <v>-4306.4</v>
      </c>
      <c r="L308" s="12" t="s">
        <v>441</v>
      </c>
      <c r="M308" s="9" t="s">
        <v>185</v>
      </c>
      <c r="N308" s="21">
        <v>48852.02</v>
      </c>
      <c r="O308" s="22">
        <v>48852.02</v>
      </c>
      <c r="P308" s="23">
        <f>Table2[[#This Row],[Sum of Old TB]]-Table2[[#This Row],[Sum of New TB]]</f>
        <v>0</v>
      </c>
    </row>
    <row r="309" customHeight="1" spans="2:16">
      <c r="B309" s="8" t="s">
        <v>459</v>
      </c>
      <c r="C309" s="9" t="s">
        <v>286</v>
      </c>
      <c r="D309" s="1">
        <v>19574.06</v>
      </c>
      <c r="E309" s="9"/>
      <c r="G309" s="1" t="s">
        <v>439</v>
      </c>
      <c r="H309" s="1" t="s">
        <v>228</v>
      </c>
      <c r="I309" s="2">
        <v>-69366.21</v>
      </c>
      <c r="J309" s="2">
        <v>-69366.21</v>
      </c>
      <c r="L309" s="12" t="s">
        <v>442</v>
      </c>
      <c r="M309" s="9" t="s">
        <v>277</v>
      </c>
      <c r="N309" s="21">
        <v>59011.55</v>
      </c>
      <c r="O309" s="22">
        <v>59011.55</v>
      </c>
      <c r="P309" s="23">
        <f>Table2[[#This Row],[Sum of Old TB]]-Table2[[#This Row],[Sum of New TB]]</f>
        <v>0</v>
      </c>
    </row>
    <row r="310" customHeight="1" spans="2:16">
      <c r="B310" s="8" t="s">
        <v>460</v>
      </c>
      <c r="C310" s="9" t="s">
        <v>143</v>
      </c>
      <c r="D310" s="1">
        <v>288.35</v>
      </c>
      <c r="E310" s="9"/>
      <c r="G310" s="1" t="s">
        <v>440</v>
      </c>
      <c r="H310" s="1" t="s">
        <v>69</v>
      </c>
      <c r="I310" s="2">
        <v>-48852.02</v>
      </c>
      <c r="J310" s="2">
        <v>-48852.02</v>
      </c>
      <c r="L310" s="12" t="s">
        <v>443</v>
      </c>
      <c r="M310" s="9" t="s">
        <v>40</v>
      </c>
      <c r="N310" s="21">
        <v>-55578.98</v>
      </c>
      <c r="O310" s="22">
        <v>-55578.98</v>
      </c>
      <c r="P310" s="23">
        <f>Table2[[#This Row],[Sum of Old TB]]-Table2[[#This Row],[Sum of New TB]]</f>
        <v>0</v>
      </c>
    </row>
    <row r="311" customHeight="1" spans="2:16">
      <c r="B311" s="8" t="s">
        <v>461</v>
      </c>
      <c r="C311" s="9" t="s">
        <v>147</v>
      </c>
      <c r="D311" s="1">
        <v>14974.99</v>
      </c>
      <c r="E311" s="9"/>
      <c r="G311" s="1" t="s">
        <v>441</v>
      </c>
      <c r="H311" s="1" t="s">
        <v>185</v>
      </c>
      <c r="I311" s="2">
        <v>48852.02</v>
      </c>
      <c r="J311" s="2">
        <v>48852.02</v>
      </c>
      <c r="L311" s="12" t="s">
        <v>444</v>
      </c>
      <c r="M311" s="9" t="s">
        <v>42</v>
      </c>
      <c r="N311" s="21">
        <v>-3498.24</v>
      </c>
      <c r="O311" s="22">
        <v>-3498.24</v>
      </c>
      <c r="P311" s="23">
        <f>Table2[[#This Row],[Sum of Old TB]]-Table2[[#This Row],[Sum of New TB]]</f>
        <v>0</v>
      </c>
    </row>
    <row r="312" customHeight="1" spans="2:16">
      <c r="B312" s="8" t="s">
        <v>462</v>
      </c>
      <c r="C312" s="9" t="s">
        <v>149</v>
      </c>
      <c r="D312" s="1">
        <v>5629.47</v>
      </c>
      <c r="E312" s="9"/>
      <c r="G312" s="1" t="s">
        <v>442</v>
      </c>
      <c r="H312" s="1" t="s">
        <v>277</v>
      </c>
      <c r="I312" s="2">
        <v>59011.55</v>
      </c>
      <c r="J312" s="2">
        <v>59011.55</v>
      </c>
      <c r="L312" s="12" t="s">
        <v>445</v>
      </c>
      <c r="M312" s="9" t="s">
        <v>55</v>
      </c>
      <c r="N312" s="21">
        <v>65.67</v>
      </c>
      <c r="O312" s="22">
        <v>65.67</v>
      </c>
      <c r="P312" s="23">
        <f>Table2[[#This Row],[Sum of Old TB]]-Table2[[#This Row],[Sum of New TB]]</f>
        <v>0</v>
      </c>
    </row>
    <row r="313" customHeight="1" spans="2:16">
      <c r="B313" s="8" t="s">
        <v>463</v>
      </c>
      <c r="C313" s="9" t="s">
        <v>153</v>
      </c>
      <c r="D313" s="1">
        <v>5530.81</v>
      </c>
      <c r="E313" s="9"/>
      <c r="G313" s="1" t="s">
        <v>443</v>
      </c>
      <c r="H313" s="1" t="s">
        <v>40</v>
      </c>
      <c r="I313" s="2">
        <v>-55578.98</v>
      </c>
      <c r="J313" s="2">
        <v>-55578.98</v>
      </c>
      <c r="L313" s="12" t="s">
        <v>446</v>
      </c>
      <c r="M313" s="9" t="s">
        <v>69</v>
      </c>
      <c r="N313" s="21">
        <v>-666157.35</v>
      </c>
      <c r="O313" s="22">
        <v>-666157.35</v>
      </c>
      <c r="P313" s="23">
        <f>Table2[[#This Row],[Sum of Old TB]]-Table2[[#This Row],[Sum of New TB]]</f>
        <v>0</v>
      </c>
    </row>
    <row r="314" customHeight="1" spans="2:16">
      <c r="B314" s="8" t="s">
        <v>464</v>
      </c>
      <c r="C314" s="9" t="s">
        <v>249</v>
      </c>
      <c r="D314" s="1">
        <v>219</v>
      </c>
      <c r="E314" s="9"/>
      <c r="G314" s="1" t="s">
        <v>444</v>
      </c>
      <c r="H314" s="1" t="s">
        <v>42</v>
      </c>
      <c r="I314" s="2">
        <v>-3498.24</v>
      </c>
      <c r="J314" s="2">
        <v>-3498.24</v>
      </c>
      <c r="L314" s="12" t="s">
        <v>447</v>
      </c>
      <c r="M314" s="9" t="s">
        <v>107</v>
      </c>
      <c r="N314" s="21">
        <v>438456.47</v>
      </c>
      <c r="O314" s="22">
        <v>438448.97</v>
      </c>
      <c r="P314" s="23">
        <f>Table2[[#This Row],[Sum of Old TB]]-Table2[[#This Row],[Sum of New TB]]</f>
        <v>7.5</v>
      </c>
    </row>
    <row r="315" customHeight="1" spans="2:16">
      <c r="B315" s="8" t="s">
        <v>465</v>
      </c>
      <c r="C315" s="9" t="s">
        <v>161</v>
      </c>
      <c r="D315" s="1">
        <v>1739.75</v>
      </c>
      <c r="E315" s="9"/>
      <c r="G315" s="1" t="s">
        <v>445</v>
      </c>
      <c r="H315" s="1" t="s">
        <v>55</v>
      </c>
      <c r="I315" s="2">
        <v>65.67</v>
      </c>
      <c r="J315" s="2">
        <v>65.67</v>
      </c>
      <c r="L315" s="12" t="s">
        <v>448</v>
      </c>
      <c r="M315" s="9" t="s">
        <v>109</v>
      </c>
      <c r="N315" s="21">
        <v>36287.63</v>
      </c>
      <c r="O315" s="22">
        <v>36287.63</v>
      </c>
      <c r="P315" s="23">
        <f>Table2[[#This Row],[Sum of Old TB]]-Table2[[#This Row],[Sum of New TB]]</f>
        <v>0</v>
      </c>
    </row>
    <row r="316" customHeight="1" spans="2:16">
      <c r="B316" s="8" t="s">
        <v>466</v>
      </c>
      <c r="C316" s="9" t="s">
        <v>163</v>
      </c>
      <c r="D316" s="1">
        <v>1199</v>
      </c>
      <c r="E316" s="9"/>
      <c r="G316" s="1" t="s">
        <v>446</v>
      </c>
      <c r="H316" s="1" t="s">
        <v>69</v>
      </c>
      <c r="I316" s="2">
        <v>-666157.35</v>
      </c>
      <c r="J316" s="2">
        <v>-666157.35</v>
      </c>
      <c r="L316" s="12" t="s">
        <v>449</v>
      </c>
      <c r="M316" s="9" t="s">
        <v>111</v>
      </c>
      <c r="N316" s="21">
        <v>63527.77</v>
      </c>
      <c r="O316" s="22">
        <v>63535.27</v>
      </c>
      <c r="P316" s="23">
        <f>Table2[[#This Row],[Sum of Old TB]]-Table2[[#This Row],[Sum of New TB]]</f>
        <v>-7.5</v>
      </c>
    </row>
    <row r="317" customHeight="1" spans="2:16">
      <c r="B317" s="8" t="s">
        <v>467</v>
      </c>
      <c r="C317" s="9" t="s">
        <v>165</v>
      </c>
      <c r="D317" s="1">
        <v>13034.81</v>
      </c>
      <c r="E317" s="9"/>
      <c r="G317" s="1" t="s">
        <v>447</v>
      </c>
      <c r="H317" s="1" t="s">
        <v>107</v>
      </c>
      <c r="I317" s="2">
        <v>438456.47</v>
      </c>
      <c r="J317" s="2">
        <v>438448.97</v>
      </c>
      <c r="L317" s="12" t="s">
        <v>451</v>
      </c>
      <c r="M317" s="9" t="s">
        <v>117</v>
      </c>
      <c r="N317" s="21">
        <v>1794.53</v>
      </c>
      <c r="O317" s="22">
        <v>1794.53</v>
      </c>
      <c r="P317" s="23">
        <f>Table2[[#This Row],[Sum of Old TB]]-Table2[[#This Row],[Sum of New TB]]</f>
        <v>0</v>
      </c>
    </row>
    <row r="318" customHeight="1" spans="2:16">
      <c r="B318" s="8" t="s">
        <v>468</v>
      </c>
      <c r="C318" s="9" t="s">
        <v>469</v>
      </c>
      <c r="D318" s="1">
        <v>187.11</v>
      </c>
      <c r="E318" s="9"/>
      <c r="G318" s="1" t="s">
        <v>448</v>
      </c>
      <c r="H318" s="1" t="s">
        <v>109</v>
      </c>
      <c r="I318" s="2">
        <v>36287.63</v>
      </c>
      <c r="J318" s="2">
        <v>36287.63</v>
      </c>
      <c r="L318" s="12" t="s">
        <v>453</v>
      </c>
      <c r="M318" s="9" t="s">
        <v>121</v>
      </c>
      <c r="N318" s="21">
        <v>1045</v>
      </c>
      <c r="O318" s="22">
        <v>1045</v>
      </c>
      <c r="P318" s="23">
        <f>Table2[[#This Row],[Sum of Old TB]]-Table2[[#This Row],[Sum of New TB]]</f>
        <v>0</v>
      </c>
    </row>
    <row r="319" customHeight="1" spans="2:16">
      <c r="B319" s="8" t="s">
        <v>470</v>
      </c>
      <c r="C319" s="9" t="s">
        <v>167</v>
      </c>
      <c r="D319" s="1">
        <v>148.5</v>
      </c>
      <c r="E319" s="9"/>
      <c r="G319" s="1" t="s">
        <v>449</v>
      </c>
      <c r="H319" s="1" t="s">
        <v>111</v>
      </c>
      <c r="I319" s="2">
        <v>63527.77</v>
      </c>
      <c r="J319" s="2">
        <v>63535.27</v>
      </c>
      <c r="L319" s="12" t="s">
        <v>454</v>
      </c>
      <c r="M319" s="9" t="s">
        <v>125</v>
      </c>
      <c r="N319" s="21">
        <v>1664.22</v>
      </c>
      <c r="O319" s="22">
        <v>1664.22</v>
      </c>
      <c r="P319" s="23">
        <f>Table2[[#This Row],[Sum of Old TB]]-Table2[[#This Row],[Sum of New TB]]</f>
        <v>0</v>
      </c>
    </row>
    <row r="320" customHeight="1" spans="2:16">
      <c r="B320" s="8" t="s">
        <v>471</v>
      </c>
      <c r="C320" s="9" t="s">
        <v>171</v>
      </c>
      <c r="D320" s="1">
        <v>127.82</v>
      </c>
      <c r="E320" s="9"/>
      <c r="G320" s="1" t="s">
        <v>451</v>
      </c>
      <c r="H320" s="1" t="s">
        <v>117</v>
      </c>
      <c r="I320" s="2">
        <v>1794.53</v>
      </c>
      <c r="J320" s="2">
        <v>1794.53</v>
      </c>
      <c r="L320" s="12" t="s">
        <v>455</v>
      </c>
      <c r="M320" s="9" t="s">
        <v>129</v>
      </c>
      <c r="N320" s="21">
        <v>6564.65</v>
      </c>
      <c r="O320" s="22">
        <v>6564.65</v>
      </c>
      <c r="P320" s="23">
        <f>Table2[[#This Row],[Sum of Old TB]]-Table2[[#This Row],[Sum of New TB]]</f>
        <v>0</v>
      </c>
    </row>
    <row r="321" customHeight="1" spans="2:16">
      <c r="B321" s="8" t="s">
        <v>472</v>
      </c>
      <c r="C321" s="9" t="s">
        <v>175</v>
      </c>
      <c r="D321" s="1">
        <v>7892.91</v>
      </c>
      <c r="E321" s="9"/>
      <c r="G321" s="1" t="s">
        <v>453</v>
      </c>
      <c r="H321" s="1" t="s">
        <v>121</v>
      </c>
      <c r="I321" s="2">
        <v>1045</v>
      </c>
      <c r="J321" s="2">
        <v>1045</v>
      </c>
      <c r="L321" s="12" t="s">
        <v>456</v>
      </c>
      <c r="M321" s="9" t="s">
        <v>309</v>
      </c>
      <c r="N321" s="21">
        <v>1500</v>
      </c>
      <c r="O321" s="22">
        <v>1500</v>
      </c>
      <c r="P321" s="23">
        <f>Table2[[#This Row],[Sum of Old TB]]-Table2[[#This Row],[Sum of New TB]]</f>
        <v>0</v>
      </c>
    </row>
    <row r="322" customHeight="1" spans="2:16">
      <c r="B322" s="8" t="s">
        <v>473</v>
      </c>
      <c r="C322" s="9" t="s">
        <v>177</v>
      </c>
      <c r="D322" s="1">
        <v>6898.12</v>
      </c>
      <c r="E322" s="9"/>
      <c r="G322" s="1" t="s">
        <v>454</v>
      </c>
      <c r="H322" s="1" t="s">
        <v>125</v>
      </c>
      <c r="I322" s="2">
        <v>1664.22</v>
      </c>
      <c r="J322" s="2">
        <v>1664.22</v>
      </c>
      <c r="L322" s="12" t="s">
        <v>457</v>
      </c>
      <c r="M322" s="9" t="s">
        <v>458</v>
      </c>
      <c r="N322" s="21">
        <v>791.38</v>
      </c>
      <c r="O322" s="22">
        <v>791.38</v>
      </c>
      <c r="P322" s="23">
        <f>Table2[[#This Row],[Sum of Old TB]]-Table2[[#This Row],[Sum of New TB]]</f>
        <v>0</v>
      </c>
    </row>
    <row r="323" customHeight="1" spans="2:16">
      <c r="B323" s="8" t="s">
        <v>474</v>
      </c>
      <c r="C323" s="9" t="s">
        <v>179</v>
      </c>
      <c r="D323" s="1">
        <v>1220.77</v>
      </c>
      <c r="E323" s="9"/>
      <c r="G323" s="1" t="s">
        <v>455</v>
      </c>
      <c r="H323" s="1" t="s">
        <v>129</v>
      </c>
      <c r="I323" s="2">
        <v>6564.65</v>
      </c>
      <c r="J323" s="2">
        <v>6564.65</v>
      </c>
      <c r="L323" s="12" t="s">
        <v>459</v>
      </c>
      <c r="M323" s="9" t="s">
        <v>286</v>
      </c>
      <c r="N323" s="21">
        <v>19574.06</v>
      </c>
      <c r="O323" s="22">
        <v>19574.06</v>
      </c>
      <c r="P323" s="23">
        <f>Table2[[#This Row],[Sum of Old TB]]-Table2[[#This Row],[Sum of New TB]]</f>
        <v>0</v>
      </c>
    </row>
    <row r="324" customHeight="1" spans="2:16">
      <c r="B324" s="8" t="s">
        <v>475</v>
      </c>
      <c r="C324" s="9" t="s">
        <v>266</v>
      </c>
      <c r="D324" s="1">
        <v>735</v>
      </c>
      <c r="E324" s="9"/>
      <c r="G324" s="1" t="s">
        <v>456</v>
      </c>
      <c r="H324" s="1" t="s">
        <v>309</v>
      </c>
      <c r="I324" s="2">
        <v>1500</v>
      </c>
      <c r="J324" s="2">
        <v>1500</v>
      </c>
      <c r="L324" s="12" t="s">
        <v>460</v>
      </c>
      <c r="M324" s="9" t="s">
        <v>143</v>
      </c>
      <c r="N324" s="21">
        <v>288.35</v>
      </c>
      <c r="O324" s="22">
        <v>288.35</v>
      </c>
      <c r="P324" s="23">
        <f>Table2[[#This Row],[Sum of Old TB]]-Table2[[#This Row],[Sum of New TB]]</f>
        <v>0</v>
      </c>
    </row>
    <row r="325" customHeight="1" spans="2:16">
      <c r="B325" s="8" t="s">
        <v>476</v>
      </c>
      <c r="C325" s="9" t="s">
        <v>195</v>
      </c>
      <c r="D325" s="1">
        <v>2913.63</v>
      </c>
      <c r="E325" s="9"/>
      <c r="G325" s="1" t="s">
        <v>457</v>
      </c>
      <c r="H325" s="1" t="s">
        <v>458</v>
      </c>
      <c r="I325" s="2">
        <v>791.38</v>
      </c>
      <c r="J325" s="2">
        <v>791.38</v>
      </c>
      <c r="L325" s="12" t="s">
        <v>461</v>
      </c>
      <c r="M325" s="9" t="s">
        <v>147</v>
      </c>
      <c r="N325" s="21">
        <v>14974.99</v>
      </c>
      <c r="O325" s="22">
        <v>14974.99</v>
      </c>
      <c r="P325" s="23">
        <f>Table2[[#This Row],[Sum of Old TB]]-Table2[[#This Row],[Sum of New TB]]</f>
        <v>0</v>
      </c>
    </row>
    <row r="326" customHeight="1" spans="2:16">
      <c r="B326" s="8" t="s">
        <v>477</v>
      </c>
      <c r="C326" s="9" t="s">
        <v>105</v>
      </c>
      <c r="D326" s="1">
        <v>371.96</v>
      </c>
      <c r="E326" s="9"/>
      <c r="G326" s="1" t="s">
        <v>459</v>
      </c>
      <c r="H326" s="1" t="s">
        <v>286</v>
      </c>
      <c r="I326" s="2">
        <v>19574.06</v>
      </c>
      <c r="J326" s="2">
        <v>19574.06</v>
      </c>
      <c r="L326" s="12" t="s">
        <v>462</v>
      </c>
      <c r="M326" s="9" t="s">
        <v>149</v>
      </c>
      <c r="N326" s="21">
        <v>5629.47</v>
      </c>
      <c r="O326" s="22">
        <v>5629.47</v>
      </c>
      <c r="P326" s="23">
        <f>Table2[[#This Row],[Sum of Old TB]]-Table2[[#This Row],[Sum of New TB]]</f>
        <v>0</v>
      </c>
    </row>
    <row r="327" customHeight="1" spans="2:16">
      <c r="B327" s="8" t="s">
        <v>478</v>
      </c>
      <c r="C327" s="9" t="s">
        <v>275</v>
      </c>
      <c r="D327" s="1">
        <v>31839.64</v>
      </c>
      <c r="E327" s="9"/>
      <c r="G327" s="1" t="s">
        <v>460</v>
      </c>
      <c r="H327" s="1" t="s">
        <v>143</v>
      </c>
      <c r="I327" s="2">
        <v>288.35</v>
      </c>
      <c r="J327" s="2">
        <v>288.35</v>
      </c>
      <c r="L327" s="12" t="s">
        <v>463</v>
      </c>
      <c r="M327" s="9" t="s">
        <v>153</v>
      </c>
      <c r="N327" s="21">
        <v>5530.81</v>
      </c>
      <c r="O327" s="22">
        <v>5530.81</v>
      </c>
      <c r="P327" s="23">
        <f>Table2[[#This Row],[Sum of Old TB]]-Table2[[#This Row],[Sum of New TB]]</f>
        <v>0</v>
      </c>
    </row>
    <row r="328" customHeight="1" spans="2:16">
      <c r="B328" s="8" t="s">
        <v>479</v>
      </c>
      <c r="C328" s="9" t="s">
        <v>277</v>
      </c>
      <c r="D328" s="1">
        <v>91059.92</v>
      </c>
      <c r="E328" s="9"/>
      <c r="G328" s="1" t="s">
        <v>461</v>
      </c>
      <c r="H328" s="1" t="s">
        <v>147</v>
      </c>
      <c r="I328" s="2">
        <v>14974.99</v>
      </c>
      <c r="J328" s="2">
        <v>14974.99</v>
      </c>
      <c r="L328" s="12" t="s">
        <v>464</v>
      </c>
      <c r="M328" s="9" t="s">
        <v>249</v>
      </c>
      <c r="N328" s="21">
        <v>219</v>
      </c>
      <c r="O328" s="22">
        <v>219</v>
      </c>
      <c r="P328" s="23">
        <f>Table2[[#This Row],[Sum of Old TB]]-Table2[[#This Row],[Sum of New TB]]</f>
        <v>0</v>
      </c>
    </row>
    <row r="329" customHeight="1" spans="2:16">
      <c r="B329" s="8" t="s">
        <v>480</v>
      </c>
      <c r="C329" s="9" t="s">
        <v>40</v>
      </c>
      <c r="D329" s="1">
        <v>-85291.12</v>
      </c>
      <c r="E329" s="9"/>
      <c r="G329" s="1" t="s">
        <v>462</v>
      </c>
      <c r="H329" s="1" t="s">
        <v>149</v>
      </c>
      <c r="I329" s="2">
        <v>5629.47</v>
      </c>
      <c r="J329" s="2">
        <v>5629.47</v>
      </c>
      <c r="L329" s="12" t="s">
        <v>465</v>
      </c>
      <c r="M329" s="9" t="s">
        <v>161</v>
      </c>
      <c r="N329" s="21">
        <v>1739.75</v>
      </c>
      <c r="O329" s="22">
        <v>1739.75</v>
      </c>
      <c r="P329" s="23">
        <f>Table2[[#This Row],[Sum of Old TB]]-Table2[[#This Row],[Sum of New TB]]</f>
        <v>0</v>
      </c>
    </row>
    <row r="330" customHeight="1" spans="2:16">
      <c r="B330" s="8" t="s">
        <v>481</v>
      </c>
      <c r="C330" s="9" t="s">
        <v>42</v>
      </c>
      <c r="D330" s="1">
        <v>-6239.68</v>
      </c>
      <c r="E330" s="9"/>
      <c r="G330" s="1" t="s">
        <v>463</v>
      </c>
      <c r="H330" s="1" t="s">
        <v>153</v>
      </c>
      <c r="I330" s="2">
        <v>5530.81</v>
      </c>
      <c r="J330" s="2">
        <v>5530.81</v>
      </c>
      <c r="L330" s="12" t="s">
        <v>466</v>
      </c>
      <c r="M330" s="9" t="s">
        <v>163</v>
      </c>
      <c r="N330" s="21">
        <v>1199</v>
      </c>
      <c r="O330" s="22">
        <v>1199</v>
      </c>
      <c r="P330" s="23">
        <f>Table2[[#This Row],[Sum of Old TB]]-Table2[[#This Row],[Sum of New TB]]</f>
        <v>0</v>
      </c>
    </row>
    <row r="331" customHeight="1" spans="2:16">
      <c r="B331" s="8" t="s">
        <v>482</v>
      </c>
      <c r="C331" s="9" t="s">
        <v>55</v>
      </c>
      <c r="D331" s="1">
        <v>470.88</v>
      </c>
      <c r="E331" s="9"/>
      <c r="G331" s="1" t="s">
        <v>464</v>
      </c>
      <c r="H331" s="1" t="s">
        <v>249</v>
      </c>
      <c r="I331" s="2">
        <v>219</v>
      </c>
      <c r="J331" s="2">
        <v>219</v>
      </c>
      <c r="L331" s="12" t="s">
        <v>467</v>
      </c>
      <c r="M331" s="9" t="s">
        <v>165</v>
      </c>
      <c r="N331" s="21">
        <v>13034.81</v>
      </c>
      <c r="O331" s="22">
        <v>13034.81</v>
      </c>
      <c r="P331" s="23">
        <f>Table2[[#This Row],[Sum of Old TB]]-Table2[[#This Row],[Sum of New TB]]</f>
        <v>0</v>
      </c>
    </row>
    <row r="332" customHeight="1" spans="2:16">
      <c r="B332" s="8" t="s">
        <v>483</v>
      </c>
      <c r="C332" s="9" t="s">
        <v>69</v>
      </c>
      <c r="D332" s="1">
        <v>-910650.08</v>
      </c>
      <c r="E332" s="9"/>
      <c r="G332" s="1" t="s">
        <v>465</v>
      </c>
      <c r="H332" s="1" t="s">
        <v>161</v>
      </c>
      <c r="I332" s="2">
        <v>1739.75</v>
      </c>
      <c r="J332" s="2">
        <v>1739.75</v>
      </c>
      <c r="L332" s="12" t="s">
        <v>468</v>
      </c>
      <c r="M332" s="9" t="s">
        <v>469</v>
      </c>
      <c r="N332" s="21">
        <v>187.11</v>
      </c>
      <c r="O332" s="22">
        <v>187.11</v>
      </c>
      <c r="P332" s="23">
        <f>Table2[[#This Row],[Sum of Old TB]]-Table2[[#This Row],[Sum of New TB]]</f>
        <v>0</v>
      </c>
    </row>
    <row r="333" customHeight="1" spans="2:16">
      <c r="B333" s="8" t="s">
        <v>484</v>
      </c>
      <c r="C333" s="9" t="s">
        <v>107</v>
      </c>
      <c r="D333" s="1">
        <v>516955.91</v>
      </c>
      <c r="E333" s="9"/>
      <c r="G333" s="1" t="s">
        <v>466</v>
      </c>
      <c r="H333" s="1" t="s">
        <v>163</v>
      </c>
      <c r="I333" s="2">
        <v>1199</v>
      </c>
      <c r="J333" s="2">
        <v>1199</v>
      </c>
      <c r="L333" s="12" t="s">
        <v>470</v>
      </c>
      <c r="M333" s="9" t="s">
        <v>167</v>
      </c>
      <c r="N333" s="21">
        <v>148.5</v>
      </c>
      <c r="O333" s="22">
        <v>148.5</v>
      </c>
      <c r="P333" s="23">
        <f>Table2[[#This Row],[Sum of Old TB]]-Table2[[#This Row],[Sum of New TB]]</f>
        <v>0</v>
      </c>
    </row>
    <row r="334" customHeight="1" spans="2:16">
      <c r="B334" s="8" t="s">
        <v>485</v>
      </c>
      <c r="C334" s="9" t="s">
        <v>109</v>
      </c>
      <c r="D334" s="1">
        <v>45294.04</v>
      </c>
      <c r="E334" s="9"/>
      <c r="G334" s="1" t="s">
        <v>467</v>
      </c>
      <c r="H334" s="1" t="s">
        <v>165</v>
      </c>
      <c r="I334" s="2">
        <v>13034.81</v>
      </c>
      <c r="J334" s="2">
        <v>13034.81</v>
      </c>
      <c r="L334" s="12" t="s">
        <v>471</v>
      </c>
      <c r="M334" s="9" t="s">
        <v>171</v>
      </c>
      <c r="N334" s="21">
        <v>127.82</v>
      </c>
      <c r="O334" s="22">
        <v>127.82</v>
      </c>
      <c r="P334" s="23">
        <f>Table2[[#This Row],[Sum of Old TB]]-Table2[[#This Row],[Sum of New TB]]</f>
        <v>0</v>
      </c>
    </row>
    <row r="335" customHeight="1" spans="2:16">
      <c r="B335" s="8" t="s">
        <v>486</v>
      </c>
      <c r="C335" s="9" t="s">
        <v>111</v>
      </c>
      <c r="D335" s="1">
        <v>83114.5</v>
      </c>
      <c r="E335" s="9"/>
      <c r="G335" s="1" t="s">
        <v>468</v>
      </c>
      <c r="H335" s="1" t="s">
        <v>469</v>
      </c>
      <c r="I335" s="2">
        <v>187.11</v>
      </c>
      <c r="J335" s="2">
        <v>187.11</v>
      </c>
      <c r="L335" s="12" t="s">
        <v>472</v>
      </c>
      <c r="M335" s="9" t="s">
        <v>175</v>
      </c>
      <c r="N335" s="21">
        <v>7892.91</v>
      </c>
      <c r="O335" s="22">
        <v>7892.91</v>
      </c>
      <c r="P335" s="23">
        <f>Table2[[#This Row],[Sum of Old TB]]-Table2[[#This Row],[Sum of New TB]]</f>
        <v>0</v>
      </c>
    </row>
    <row r="336" customHeight="1" spans="2:16">
      <c r="B336" s="8" t="s">
        <v>487</v>
      </c>
      <c r="C336" s="9" t="s">
        <v>117</v>
      </c>
      <c r="D336" s="1">
        <v>1980</v>
      </c>
      <c r="E336" s="9"/>
      <c r="G336" s="1" t="s">
        <v>470</v>
      </c>
      <c r="H336" s="1" t="s">
        <v>167</v>
      </c>
      <c r="I336" s="2">
        <v>148.5</v>
      </c>
      <c r="J336" s="2">
        <v>148.5</v>
      </c>
      <c r="L336" s="12" t="s">
        <v>473</v>
      </c>
      <c r="M336" s="9" t="s">
        <v>177</v>
      </c>
      <c r="N336" s="21">
        <v>6898.12</v>
      </c>
      <c r="O336" s="22">
        <v>6898.12</v>
      </c>
      <c r="P336" s="23">
        <f>Table2[[#This Row],[Sum of Old TB]]-Table2[[#This Row],[Sum of New TB]]</f>
        <v>0</v>
      </c>
    </row>
    <row r="337" customHeight="1" spans="2:16">
      <c r="B337" s="8" t="s">
        <v>488</v>
      </c>
      <c r="C337" s="9" t="s">
        <v>121</v>
      </c>
      <c r="D337" s="1">
        <v>926.86</v>
      </c>
      <c r="E337" s="9"/>
      <c r="G337" s="1" t="s">
        <v>471</v>
      </c>
      <c r="H337" s="1" t="s">
        <v>171</v>
      </c>
      <c r="I337" s="2">
        <v>127.82</v>
      </c>
      <c r="J337" s="2">
        <v>127.82</v>
      </c>
      <c r="L337" s="12" t="s">
        <v>474</v>
      </c>
      <c r="M337" s="9" t="s">
        <v>179</v>
      </c>
      <c r="N337" s="21">
        <v>1220.77</v>
      </c>
      <c r="O337" s="22">
        <v>1220.77</v>
      </c>
      <c r="P337" s="23">
        <f>Table2[[#This Row],[Sum of Old TB]]-Table2[[#This Row],[Sum of New TB]]</f>
        <v>0</v>
      </c>
    </row>
    <row r="338" customHeight="1" spans="2:16">
      <c r="B338" s="8" t="s">
        <v>489</v>
      </c>
      <c r="C338" s="9" t="s">
        <v>125</v>
      </c>
      <c r="D338" s="1">
        <v>1130</v>
      </c>
      <c r="E338" s="9"/>
      <c r="G338" s="1" t="s">
        <v>472</v>
      </c>
      <c r="H338" s="1" t="s">
        <v>175</v>
      </c>
      <c r="I338" s="2">
        <v>7892.91</v>
      </c>
      <c r="J338" s="2">
        <v>7892.91</v>
      </c>
      <c r="L338" s="12" t="s">
        <v>475</v>
      </c>
      <c r="M338" s="9" t="s">
        <v>266</v>
      </c>
      <c r="N338" s="21">
        <v>735</v>
      </c>
      <c r="O338" s="22">
        <v>735</v>
      </c>
      <c r="P338" s="23">
        <f>Table2[[#This Row],[Sum of Old TB]]-Table2[[#This Row],[Sum of New TB]]</f>
        <v>0</v>
      </c>
    </row>
    <row r="339" customHeight="1" spans="2:16">
      <c r="B339" s="8" t="s">
        <v>490</v>
      </c>
      <c r="C339" s="9" t="s">
        <v>129</v>
      </c>
      <c r="D339" s="1">
        <v>14061.83</v>
      </c>
      <c r="E339" s="9"/>
      <c r="G339" s="1" t="s">
        <v>473</v>
      </c>
      <c r="H339" s="1" t="s">
        <v>177</v>
      </c>
      <c r="I339" s="2">
        <v>6898.12</v>
      </c>
      <c r="J339" s="2">
        <v>6898.12</v>
      </c>
      <c r="L339" s="12" t="s">
        <v>476</v>
      </c>
      <c r="M339" s="9" t="s">
        <v>195</v>
      </c>
      <c r="N339" s="21">
        <v>2913.63</v>
      </c>
      <c r="O339" s="22">
        <v>2913.63</v>
      </c>
      <c r="P339" s="23">
        <f>Table2[[#This Row],[Sum of Old TB]]-Table2[[#This Row],[Sum of New TB]]</f>
        <v>0</v>
      </c>
    </row>
    <row r="340" customHeight="1" spans="2:16">
      <c r="B340" s="8" t="s">
        <v>491</v>
      </c>
      <c r="C340" s="9" t="s">
        <v>286</v>
      </c>
      <c r="D340" s="1">
        <v>45638.66</v>
      </c>
      <c r="E340" s="9"/>
      <c r="G340" s="1" t="s">
        <v>474</v>
      </c>
      <c r="H340" s="1" t="s">
        <v>179</v>
      </c>
      <c r="I340" s="2">
        <v>1220.77</v>
      </c>
      <c r="J340" s="2">
        <v>1220.77</v>
      </c>
      <c r="L340" s="12" t="s">
        <v>477</v>
      </c>
      <c r="M340" s="9" t="s">
        <v>105</v>
      </c>
      <c r="N340" s="21">
        <v>371.96</v>
      </c>
      <c r="O340" s="22">
        <v>371.96</v>
      </c>
      <c r="P340" s="23">
        <f>Table2[[#This Row],[Sum of Old TB]]-Table2[[#This Row],[Sum of New TB]]</f>
        <v>0</v>
      </c>
    </row>
    <row r="341" customHeight="1" spans="2:16">
      <c r="B341" s="8" t="s">
        <v>492</v>
      </c>
      <c r="C341" s="9" t="s">
        <v>131</v>
      </c>
      <c r="D341" s="1">
        <v>8500.11</v>
      </c>
      <c r="E341" s="9"/>
      <c r="G341" s="1" t="s">
        <v>475</v>
      </c>
      <c r="H341" s="1" t="s">
        <v>266</v>
      </c>
      <c r="I341" s="2">
        <v>735</v>
      </c>
      <c r="J341" s="2">
        <v>735</v>
      </c>
      <c r="L341" s="12" t="s">
        <v>478</v>
      </c>
      <c r="M341" s="9" t="s">
        <v>275</v>
      </c>
      <c r="N341" s="21">
        <v>31839.64</v>
      </c>
      <c r="O341" s="22">
        <v>31839.64</v>
      </c>
      <c r="P341" s="23">
        <f>Table2[[#This Row],[Sum of Old TB]]-Table2[[#This Row],[Sum of New TB]]</f>
        <v>0</v>
      </c>
    </row>
    <row r="342" customHeight="1" spans="2:16">
      <c r="B342" s="8" t="s">
        <v>493</v>
      </c>
      <c r="C342" s="9" t="s">
        <v>133</v>
      </c>
      <c r="D342" s="1">
        <v>7.59</v>
      </c>
      <c r="E342" s="9"/>
      <c r="G342" s="1" t="s">
        <v>476</v>
      </c>
      <c r="H342" s="1" t="s">
        <v>195</v>
      </c>
      <c r="I342" s="2">
        <v>2913.63</v>
      </c>
      <c r="J342" s="2">
        <v>2913.63</v>
      </c>
      <c r="L342" s="12" t="s">
        <v>479</v>
      </c>
      <c r="M342" s="9" t="s">
        <v>277</v>
      </c>
      <c r="N342" s="21">
        <v>91059.92</v>
      </c>
      <c r="O342" s="22">
        <v>91059.92</v>
      </c>
      <c r="P342" s="23">
        <f>Table2[[#This Row],[Sum of Old TB]]-Table2[[#This Row],[Sum of New TB]]</f>
        <v>0</v>
      </c>
    </row>
    <row r="343" customHeight="1" spans="2:16">
      <c r="B343" s="8" t="s">
        <v>494</v>
      </c>
      <c r="C343" s="9" t="s">
        <v>139</v>
      </c>
      <c r="D343" s="1">
        <v>49.95</v>
      </c>
      <c r="E343" s="9"/>
      <c r="G343" s="1" t="s">
        <v>477</v>
      </c>
      <c r="H343" s="1" t="s">
        <v>105</v>
      </c>
      <c r="I343" s="2">
        <v>371.96</v>
      </c>
      <c r="J343" s="2">
        <v>371.96</v>
      </c>
      <c r="L343" s="12" t="s">
        <v>480</v>
      </c>
      <c r="M343" s="9" t="s">
        <v>40</v>
      </c>
      <c r="N343" s="21">
        <v>-85291.12</v>
      </c>
      <c r="O343" s="22">
        <v>-85291.12</v>
      </c>
      <c r="P343" s="23">
        <f>Table2[[#This Row],[Sum of Old TB]]-Table2[[#This Row],[Sum of New TB]]</f>
        <v>0</v>
      </c>
    </row>
    <row r="344" customHeight="1" spans="2:16">
      <c r="B344" s="8" t="s">
        <v>495</v>
      </c>
      <c r="C344" s="9" t="s">
        <v>141</v>
      </c>
      <c r="D344" s="1">
        <v>4437.81</v>
      </c>
      <c r="E344" s="9"/>
      <c r="G344" s="1" t="s">
        <v>478</v>
      </c>
      <c r="H344" s="1" t="s">
        <v>275</v>
      </c>
      <c r="I344" s="2">
        <v>31839.64</v>
      </c>
      <c r="J344" s="2">
        <v>31839.64</v>
      </c>
      <c r="L344" s="12" t="s">
        <v>481</v>
      </c>
      <c r="M344" s="9" t="s">
        <v>42</v>
      </c>
      <c r="N344" s="21">
        <v>-6239.68</v>
      </c>
      <c r="O344" s="22">
        <v>-6239.68</v>
      </c>
      <c r="P344" s="23">
        <f>Table2[[#This Row],[Sum of Old TB]]-Table2[[#This Row],[Sum of New TB]]</f>
        <v>0</v>
      </c>
    </row>
    <row r="345" customHeight="1" spans="2:16">
      <c r="B345" s="8" t="s">
        <v>496</v>
      </c>
      <c r="C345" s="9" t="s">
        <v>143</v>
      </c>
      <c r="D345" s="1">
        <v>510.13</v>
      </c>
      <c r="E345" s="9"/>
      <c r="G345" s="1" t="s">
        <v>479</v>
      </c>
      <c r="H345" s="1" t="s">
        <v>277</v>
      </c>
      <c r="I345" s="2">
        <v>91059.92</v>
      </c>
      <c r="J345" s="2">
        <v>91059.92</v>
      </c>
      <c r="L345" s="12" t="s">
        <v>482</v>
      </c>
      <c r="M345" s="9" t="s">
        <v>55</v>
      </c>
      <c r="N345" s="21">
        <v>470.88</v>
      </c>
      <c r="O345" s="22">
        <v>470.88</v>
      </c>
      <c r="P345" s="23">
        <f>Table2[[#This Row],[Sum of Old TB]]-Table2[[#This Row],[Sum of New TB]]</f>
        <v>0</v>
      </c>
    </row>
    <row r="346" customHeight="1" spans="2:16">
      <c r="B346" s="8" t="s">
        <v>497</v>
      </c>
      <c r="C346" s="9" t="s">
        <v>147</v>
      </c>
      <c r="D346" s="1">
        <v>17571.59</v>
      </c>
      <c r="E346" s="9"/>
      <c r="G346" s="1" t="s">
        <v>480</v>
      </c>
      <c r="H346" s="1" t="s">
        <v>40</v>
      </c>
      <c r="I346" s="2">
        <v>-85291.12</v>
      </c>
      <c r="J346" s="2">
        <v>-85291.12</v>
      </c>
      <c r="L346" s="12" t="s">
        <v>483</v>
      </c>
      <c r="M346" s="9" t="s">
        <v>69</v>
      </c>
      <c r="N346" s="21">
        <v>-910650.08</v>
      </c>
      <c r="O346" s="22">
        <v>-910650.08</v>
      </c>
      <c r="P346" s="23">
        <f>Table2[[#This Row],[Sum of Old TB]]-Table2[[#This Row],[Sum of New TB]]</f>
        <v>0</v>
      </c>
    </row>
    <row r="347" customHeight="1" spans="2:16">
      <c r="B347" s="8" t="s">
        <v>498</v>
      </c>
      <c r="C347" s="9" t="s">
        <v>149</v>
      </c>
      <c r="D347" s="1">
        <v>5949.42</v>
      </c>
      <c r="E347" s="9"/>
      <c r="G347" s="1" t="s">
        <v>481</v>
      </c>
      <c r="H347" s="1" t="s">
        <v>42</v>
      </c>
      <c r="I347" s="2">
        <v>-6239.68</v>
      </c>
      <c r="J347" s="2">
        <v>-6239.68</v>
      </c>
      <c r="L347" s="12" t="s">
        <v>484</v>
      </c>
      <c r="M347" s="9" t="s">
        <v>107</v>
      </c>
      <c r="N347" s="21">
        <v>516955.91</v>
      </c>
      <c r="O347" s="22">
        <v>517097.37</v>
      </c>
      <c r="P347" s="23">
        <f>Table2[[#This Row],[Sum of Old TB]]-Table2[[#This Row],[Sum of New TB]]</f>
        <v>-141.460000000021</v>
      </c>
    </row>
    <row r="348" customHeight="1" spans="2:16">
      <c r="B348" s="8" t="s">
        <v>499</v>
      </c>
      <c r="C348" s="9" t="s">
        <v>153</v>
      </c>
      <c r="D348" s="1">
        <v>8257.76</v>
      </c>
      <c r="E348" s="9"/>
      <c r="G348" s="1" t="s">
        <v>482</v>
      </c>
      <c r="H348" s="1" t="s">
        <v>55</v>
      </c>
      <c r="I348" s="2">
        <v>470.88</v>
      </c>
      <c r="J348" s="2">
        <v>470.88</v>
      </c>
      <c r="L348" s="12" t="s">
        <v>485</v>
      </c>
      <c r="M348" s="9" t="s">
        <v>109</v>
      </c>
      <c r="N348" s="21">
        <v>45294.04</v>
      </c>
      <c r="O348" s="22">
        <v>45294.04</v>
      </c>
      <c r="P348" s="23">
        <f>Table2[[#This Row],[Sum of Old TB]]-Table2[[#This Row],[Sum of New TB]]</f>
        <v>0</v>
      </c>
    </row>
    <row r="349" customHeight="1" spans="2:16">
      <c r="B349" s="8" t="s">
        <v>500</v>
      </c>
      <c r="C349" s="9" t="s">
        <v>249</v>
      </c>
      <c r="D349" s="1">
        <v>4570</v>
      </c>
      <c r="E349" s="9"/>
      <c r="G349" s="1" t="s">
        <v>483</v>
      </c>
      <c r="H349" s="1" t="s">
        <v>69</v>
      </c>
      <c r="I349" s="2">
        <v>-910650.08</v>
      </c>
      <c r="J349" s="2">
        <v>-910650.08</v>
      </c>
      <c r="L349" s="12" t="s">
        <v>486</v>
      </c>
      <c r="M349" s="9" t="s">
        <v>111</v>
      </c>
      <c r="N349" s="21">
        <v>83114.5</v>
      </c>
      <c r="O349" s="22">
        <v>83114.5</v>
      </c>
      <c r="P349" s="23">
        <f>Table2[[#This Row],[Sum of Old TB]]-Table2[[#This Row],[Sum of New TB]]</f>
        <v>0</v>
      </c>
    </row>
    <row r="350" customHeight="1" spans="2:16">
      <c r="B350" s="8" t="s">
        <v>501</v>
      </c>
      <c r="C350" s="9" t="s">
        <v>161</v>
      </c>
      <c r="D350" s="1">
        <v>8587.32</v>
      </c>
      <c r="E350" s="9"/>
      <c r="G350" s="1" t="s">
        <v>484</v>
      </c>
      <c r="H350" s="1" t="s">
        <v>107</v>
      </c>
      <c r="I350" s="2">
        <v>516955.91</v>
      </c>
      <c r="J350" s="2">
        <v>517097.37</v>
      </c>
      <c r="L350" s="12" t="s">
        <v>487</v>
      </c>
      <c r="M350" s="9" t="s">
        <v>117</v>
      </c>
      <c r="N350" s="21">
        <v>1980</v>
      </c>
      <c r="O350" s="22">
        <v>1980</v>
      </c>
      <c r="P350" s="23">
        <f>Table2[[#This Row],[Sum of Old TB]]-Table2[[#This Row],[Sum of New TB]]</f>
        <v>0</v>
      </c>
    </row>
    <row r="351" customHeight="1" spans="2:16">
      <c r="B351" s="8" t="s">
        <v>502</v>
      </c>
      <c r="C351" s="9" t="s">
        <v>165</v>
      </c>
      <c r="D351" s="1">
        <v>49189.41</v>
      </c>
      <c r="E351" s="9"/>
      <c r="G351" s="1" t="s">
        <v>485</v>
      </c>
      <c r="H351" s="1" t="s">
        <v>109</v>
      </c>
      <c r="I351" s="2">
        <v>45294.04</v>
      </c>
      <c r="J351" s="2">
        <v>45294.04</v>
      </c>
      <c r="L351" s="12" t="s">
        <v>488</v>
      </c>
      <c r="M351" s="9" t="s">
        <v>121</v>
      </c>
      <c r="N351" s="21">
        <v>926.86</v>
      </c>
      <c r="O351" s="22">
        <v>926.86</v>
      </c>
      <c r="P351" s="23">
        <f>Table2[[#This Row],[Sum of Old TB]]-Table2[[#This Row],[Sum of New TB]]</f>
        <v>0</v>
      </c>
    </row>
    <row r="352" customHeight="1" spans="2:16">
      <c r="B352" s="8" t="s">
        <v>503</v>
      </c>
      <c r="C352" s="9" t="s">
        <v>167</v>
      </c>
      <c r="D352" s="1">
        <v>1480.17</v>
      </c>
      <c r="E352" s="9"/>
      <c r="G352" s="1" t="s">
        <v>486</v>
      </c>
      <c r="H352" s="1" t="s">
        <v>111</v>
      </c>
      <c r="I352" s="2">
        <v>83114.5</v>
      </c>
      <c r="J352" s="2">
        <v>83114.5</v>
      </c>
      <c r="L352" s="12" t="s">
        <v>489</v>
      </c>
      <c r="M352" s="9" t="s">
        <v>125</v>
      </c>
      <c r="N352" s="21">
        <v>1130</v>
      </c>
      <c r="O352" s="22">
        <v>1130</v>
      </c>
      <c r="P352" s="23">
        <f>Table2[[#This Row],[Sum of Old TB]]-Table2[[#This Row],[Sum of New TB]]</f>
        <v>0</v>
      </c>
    </row>
    <row r="353" customHeight="1" spans="2:16">
      <c r="B353" s="8" t="s">
        <v>504</v>
      </c>
      <c r="C353" s="9" t="s">
        <v>171</v>
      </c>
      <c r="D353" s="1">
        <v>1098.07</v>
      </c>
      <c r="E353" s="9"/>
      <c r="G353" s="1" t="s">
        <v>487</v>
      </c>
      <c r="H353" s="1" t="s">
        <v>117</v>
      </c>
      <c r="I353" s="2">
        <v>1980</v>
      </c>
      <c r="J353" s="2">
        <v>1980</v>
      </c>
      <c r="L353" s="12" t="s">
        <v>490</v>
      </c>
      <c r="M353" s="9" t="s">
        <v>129</v>
      </c>
      <c r="N353" s="21">
        <v>14061.83</v>
      </c>
      <c r="O353" s="22">
        <v>14061.83</v>
      </c>
      <c r="P353" s="23">
        <f>Table2[[#This Row],[Sum of Old TB]]-Table2[[#This Row],[Sum of New TB]]</f>
        <v>0</v>
      </c>
    </row>
    <row r="354" customHeight="1" spans="2:16">
      <c r="B354" s="8" t="s">
        <v>505</v>
      </c>
      <c r="C354" s="9" t="s">
        <v>175</v>
      </c>
      <c r="D354" s="1">
        <v>8728.08</v>
      </c>
      <c r="E354" s="9"/>
      <c r="G354" s="1" t="s">
        <v>488</v>
      </c>
      <c r="H354" s="1" t="s">
        <v>121</v>
      </c>
      <c r="I354" s="2">
        <v>926.86</v>
      </c>
      <c r="J354" s="2">
        <v>926.86</v>
      </c>
      <c r="L354" s="12" t="s">
        <v>491</v>
      </c>
      <c r="M354" s="9" t="s">
        <v>286</v>
      </c>
      <c r="N354" s="21">
        <v>45638.66</v>
      </c>
      <c r="O354" s="22">
        <v>45638.66</v>
      </c>
      <c r="P354" s="23">
        <f>Table2[[#This Row],[Sum of Old TB]]-Table2[[#This Row],[Sum of New TB]]</f>
        <v>0</v>
      </c>
    </row>
    <row r="355" customHeight="1" spans="2:16">
      <c r="B355" s="8" t="s">
        <v>506</v>
      </c>
      <c r="C355" s="9" t="s">
        <v>177</v>
      </c>
      <c r="D355" s="1">
        <v>20662.59</v>
      </c>
      <c r="E355" s="9"/>
      <c r="G355" s="1" t="s">
        <v>489</v>
      </c>
      <c r="H355" s="1" t="s">
        <v>125</v>
      </c>
      <c r="I355" s="2">
        <v>1130</v>
      </c>
      <c r="J355" s="2">
        <v>1130</v>
      </c>
      <c r="L355" s="12" t="s">
        <v>492</v>
      </c>
      <c r="M355" s="9" t="s">
        <v>131</v>
      </c>
      <c r="N355" s="21">
        <v>8500.11</v>
      </c>
      <c r="O355" s="22">
        <v>8500.11</v>
      </c>
      <c r="P355" s="23">
        <f>Table2[[#This Row],[Sum of Old TB]]-Table2[[#This Row],[Sum of New TB]]</f>
        <v>0</v>
      </c>
    </row>
    <row r="356" customHeight="1" spans="2:16">
      <c r="B356" s="8" t="s">
        <v>507</v>
      </c>
      <c r="C356" s="9" t="s">
        <v>179</v>
      </c>
      <c r="D356" s="1">
        <v>2104.16</v>
      </c>
      <c r="E356" s="9"/>
      <c r="G356" s="1" t="s">
        <v>490</v>
      </c>
      <c r="H356" s="1" t="s">
        <v>129</v>
      </c>
      <c r="I356" s="2">
        <v>14061.83</v>
      </c>
      <c r="J356" s="2">
        <v>14061.83</v>
      </c>
      <c r="L356" s="12" t="s">
        <v>493</v>
      </c>
      <c r="M356" s="9" t="s">
        <v>133</v>
      </c>
      <c r="N356" s="21">
        <v>7.59</v>
      </c>
      <c r="O356" s="22">
        <v>7.59</v>
      </c>
      <c r="P356" s="23">
        <f>Table2[[#This Row],[Sum of Old TB]]-Table2[[#This Row],[Sum of New TB]]</f>
        <v>0</v>
      </c>
    </row>
    <row r="357" customHeight="1" spans="2:16">
      <c r="B357" s="8" t="s">
        <v>508</v>
      </c>
      <c r="C357" s="9" t="s">
        <v>187</v>
      </c>
      <c r="D357" s="1">
        <v>46.99</v>
      </c>
      <c r="E357" s="9"/>
      <c r="G357" s="1" t="s">
        <v>491</v>
      </c>
      <c r="H357" s="1" t="s">
        <v>286</v>
      </c>
      <c r="I357" s="2">
        <v>45638.66</v>
      </c>
      <c r="J357" s="2">
        <v>45638.66</v>
      </c>
      <c r="L357" s="12" t="s">
        <v>494</v>
      </c>
      <c r="M357" s="9" t="s">
        <v>139</v>
      </c>
      <c r="N357" s="21">
        <v>49.95</v>
      </c>
      <c r="O357" s="22">
        <v>49.95</v>
      </c>
      <c r="P357" s="23">
        <f>Table2[[#This Row],[Sum of Old TB]]-Table2[[#This Row],[Sum of New TB]]</f>
        <v>0</v>
      </c>
    </row>
    <row r="358" customHeight="1" spans="2:16">
      <c r="B358" s="8" t="s">
        <v>509</v>
      </c>
      <c r="C358" s="9" t="s">
        <v>266</v>
      </c>
      <c r="D358" s="1">
        <v>735</v>
      </c>
      <c r="E358" s="9"/>
      <c r="G358" s="1" t="s">
        <v>492</v>
      </c>
      <c r="H358" s="1" t="s">
        <v>131</v>
      </c>
      <c r="I358" s="2">
        <v>8500.11</v>
      </c>
      <c r="J358" s="2">
        <v>8500.11</v>
      </c>
      <c r="L358" s="12" t="s">
        <v>495</v>
      </c>
      <c r="M358" s="9" t="s">
        <v>141</v>
      </c>
      <c r="N358" s="21">
        <v>4437.81</v>
      </c>
      <c r="O358" s="22">
        <v>4437.81</v>
      </c>
      <c r="P358" s="23">
        <f>Table2[[#This Row],[Sum of Old TB]]-Table2[[#This Row],[Sum of New TB]]</f>
        <v>0</v>
      </c>
    </row>
    <row r="359" customHeight="1" spans="2:16">
      <c r="B359" s="8" t="s">
        <v>510</v>
      </c>
      <c r="C359" s="9" t="s">
        <v>511</v>
      </c>
      <c r="D359" s="1">
        <v>3714.9</v>
      </c>
      <c r="E359" s="9"/>
      <c r="G359" s="1" t="s">
        <v>493</v>
      </c>
      <c r="H359" s="1" t="s">
        <v>133</v>
      </c>
      <c r="I359" s="2">
        <v>7.59</v>
      </c>
      <c r="J359" s="2">
        <v>7.59</v>
      </c>
      <c r="L359" s="12" t="s">
        <v>496</v>
      </c>
      <c r="M359" s="9" t="s">
        <v>143</v>
      </c>
      <c r="N359" s="21">
        <v>510.13</v>
      </c>
      <c r="O359" s="22">
        <v>510.13</v>
      </c>
      <c r="P359" s="23">
        <f>Table2[[#This Row],[Sum of Old TB]]-Table2[[#This Row],[Sum of New TB]]</f>
        <v>0</v>
      </c>
    </row>
    <row r="360" customHeight="1" spans="2:16">
      <c r="B360" s="8" t="s">
        <v>512</v>
      </c>
      <c r="C360" s="9" t="s">
        <v>195</v>
      </c>
      <c r="D360" s="1">
        <v>2719.23</v>
      </c>
      <c r="E360" s="9"/>
      <c r="G360" s="1" t="s">
        <v>494</v>
      </c>
      <c r="H360" s="1" t="s">
        <v>139</v>
      </c>
      <c r="I360" s="2">
        <v>49.95</v>
      </c>
      <c r="J360" s="2">
        <v>49.95</v>
      </c>
      <c r="L360" s="12" t="s">
        <v>497</v>
      </c>
      <c r="M360" s="9" t="s">
        <v>147</v>
      </c>
      <c r="N360" s="21">
        <v>17571.59</v>
      </c>
      <c r="O360" s="22">
        <v>17571.59</v>
      </c>
      <c r="P360" s="23">
        <f>Table2[[#This Row],[Sum of Old TB]]-Table2[[#This Row],[Sum of New TB]]</f>
        <v>0</v>
      </c>
    </row>
    <row r="361" customHeight="1" spans="2:16">
      <c r="B361" s="8" t="s">
        <v>513</v>
      </c>
      <c r="C361" s="9" t="s">
        <v>275</v>
      </c>
      <c r="D361" s="1">
        <v>52628</v>
      </c>
      <c r="E361" s="9"/>
      <c r="G361" s="1" t="s">
        <v>495</v>
      </c>
      <c r="H361" s="1" t="s">
        <v>141</v>
      </c>
      <c r="I361" s="2">
        <v>4437.81</v>
      </c>
      <c r="J361" s="2">
        <v>4437.81</v>
      </c>
      <c r="L361" s="12" t="s">
        <v>498</v>
      </c>
      <c r="M361" s="9" t="s">
        <v>149</v>
      </c>
      <c r="N361" s="21">
        <v>5949.42</v>
      </c>
      <c r="O361" s="22">
        <v>5949.42</v>
      </c>
      <c r="P361" s="23">
        <f>Table2[[#This Row],[Sum of Old TB]]-Table2[[#This Row],[Sum of New TB]]</f>
        <v>0</v>
      </c>
    </row>
    <row r="362" customHeight="1" spans="2:16">
      <c r="B362" s="8" t="s">
        <v>514</v>
      </c>
      <c r="C362" s="9" t="s">
        <v>277</v>
      </c>
      <c r="D362" s="1">
        <v>71205.94</v>
      </c>
      <c r="E362" s="9"/>
      <c r="G362" s="1" t="s">
        <v>496</v>
      </c>
      <c r="H362" s="1" t="s">
        <v>143</v>
      </c>
      <c r="I362" s="2">
        <v>510.13</v>
      </c>
      <c r="J362" s="2">
        <v>510.13</v>
      </c>
      <c r="L362" s="12" t="s">
        <v>499</v>
      </c>
      <c r="M362" s="9" t="s">
        <v>153</v>
      </c>
      <c r="N362" s="21">
        <v>8257.76</v>
      </c>
      <c r="O362" s="22">
        <v>8257.76</v>
      </c>
      <c r="P362" s="23">
        <f>Table2[[#This Row],[Sum of Old TB]]-Table2[[#This Row],[Sum of New TB]]</f>
        <v>0</v>
      </c>
    </row>
    <row r="363" customHeight="1" spans="2:16">
      <c r="B363" s="8" t="s">
        <v>515</v>
      </c>
      <c r="C363" s="9" t="s">
        <v>40</v>
      </c>
      <c r="D363" s="1">
        <v>-70584.8</v>
      </c>
      <c r="E363" s="9"/>
      <c r="G363" s="1" t="s">
        <v>497</v>
      </c>
      <c r="H363" s="1" t="s">
        <v>147</v>
      </c>
      <c r="I363" s="2">
        <v>17571.59</v>
      </c>
      <c r="J363" s="2">
        <v>17571.59</v>
      </c>
      <c r="L363" s="12" t="s">
        <v>500</v>
      </c>
      <c r="M363" s="9" t="s">
        <v>249</v>
      </c>
      <c r="N363" s="21">
        <v>4570</v>
      </c>
      <c r="O363" s="22">
        <v>4570</v>
      </c>
      <c r="P363" s="23">
        <f>Table2[[#This Row],[Sum of Old TB]]-Table2[[#This Row],[Sum of New TB]]</f>
        <v>0</v>
      </c>
    </row>
    <row r="364" customHeight="1" spans="2:16">
      <c r="B364" s="8" t="s">
        <v>516</v>
      </c>
      <c r="C364" s="9" t="s">
        <v>42</v>
      </c>
      <c r="D364" s="1">
        <v>-621.14</v>
      </c>
      <c r="E364" s="9"/>
      <c r="G364" s="1" t="s">
        <v>498</v>
      </c>
      <c r="H364" s="1" t="s">
        <v>149</v>
      </c>
      <c r="I364" s="2">
        <v>5949.42</v>
      </c>
      <c r="J364" s="2">
        <v>5949.42</v>
      </c>
      <c r="L364" s="12" t="s">
        <v>501</v>
      </c>
      <c r="M364" s="9" t="s">
        <v>161</v>
      </c>
      <c r="N364" s="21">
        <v>8587.32</v>
      </c>
      <c r="O364" s="22">
        <v>13746.32</v>
      </c>
      <c r="P364" s="23">
        <f>Table2[[#This Row],[Sum of Old TB]]-Table2[[#This Row],[Sum of New TB]]</f>
        <v>-5159</v>
      </c>
    </row>
    <row r="365" customHeight="1" spans="2:16">
      <c r="B365" s="8" t="s">
        <v>517</v>
      </c>
      <c r="C365" s="9" t="s">
        <v>69</v>
      </c>
      <c r="D365" s="1">
        <v>-303663.12</v>
      </c>
      <c r="E365" s="9"/>
      <c r="G365" s="1" t="s">
        <v>499</v>
      </c>
      <c r="H365" s="1" t="s">
        <v>153</v>
      </c>
      <c r="I365" s="2">
        <v>8257.76</v>
      </c>
      <c r="J365" s="2">
        <v>8257.76</v>
      </c>
      <c r="L365" s="12" t="s">
        <v>502</v>
      </c>
      <c r="M365" s="9" t="s">
        <v>165</v>
      </c>
      <c r="N365" s="21">
        <v>49189.41</v>
      </c>
      <c r="O365" s="22">
        <v>27972.86</v>
      </c>
      <c r="P365" s="23">
        <f>Table2[[#This Row],[Sum of Old TB]]-Table2[[#This Row],[Sum of New TB]]</f>
        <v>21216.55</v>
      </c>
    </row>
    <row r="366" customHeight="1" spans="2:16">
      <c r="B366" s="8" t="s">
        <v>518</v>
      </c>
      <c r="C366" s="9" t="s">
        <v>107</v>
      </c>
      <c r="D366" s="1">
        <v>172457.03</v>
      </c>
      <c r="E366" s="9"/>
      <c r="G366" s="1" t="s">
        <v>500</v>
      </c>
      <c r="H366" s="1" t="s">
        <v>249</v>
      </c>
      <c r="I366" s="2">
        <v>4570</v>
      </c>
      <c r="J366" s="2">
        <v>4570</v>
      </c>
      <c r="L366" s="12" t="s">
        <v>503</v>
      </c>
      <c r="M366" s="9" t="s">
        <v>167</v>
      </c>
      <c r="N366" s="21">
        <v>1480.17</v>
      </c>
      <c r="O366" s="22">
        <v>1480.17</v>
      </c>
      <c r="P366" s="23">
        <f>Table2[[#This Row],[Sum of Old TB]]-Table2[[#This Row],[Sum of New TB]]</f>
        <v>0</v>
      </c>
    </row>
    <row r="367" customHeight="1" spans="2:16">
      <c r="B367" s="8" t="s">
        <v>519</v>
      </c>
      <c r="C367" s="9" t="s">
        <v>109</v>
      </c>
      <c r="D367" s="1">
        <v>14255.85</v>
      </c>
      <c r="E367" s="9"/>
      <c r="G367" s="1" t="s">
        <v>501</v>
      </c>
      <c r="H367" s="1" t="s">
        <v>161</v>
      </c>
      <c r="I367" s="2">
        <v>8587.32</v>
      </c>
      <c r="J367" s="2">
        <v>13746.32</v>
      </c>
      <c r="L367" s="12" t="s">
        <v>504</v>
      </c>
      <c r="M367" s="9" t="s">
        <v>171</v>
      </c>
      <c r="N367" s="21">
        <v>1098.07</v>
      </c>
      <c r="O367" s="22">
        <v>1098.07</v>
      </c>
      <c r="P367" s="23">
        <f>Table2[[#This Row],[Sum of Old TB]]-Table2[[#This Row],[Sum of New TB]]</f>
        <v>0</v>
      </c>
    </row>
    <row r="368" customHeight="1" spans="2:16">
      <c r="B368" s="8" t="s">
        <v>520</v>
      </c>
      <c r="C368" s="9" t="s">
        <v>111</v>
      </c>
      <c r="D368" s="1">
        <v>31102.24</v>
      </c>
      <c r="E368" s="9"/>
      <c r="G368" s="1" t="s">
        <v>502</v>
      </c>
      <c r="H368" s="1" t="s">
        <v>165</v>
      </c>
      <c r="I368" s="2">
        <v>49189.41</v>
      </c>
      <c r="J368" s="2">
        <v>27972.86</v>
      </c>
      <c r="L368" s="12" t="s">
        <v>505</v>
      </c>
      <c r="M368" s="9" t="s">
        <v>175</v>
      </c>
      <c r="N368" s="21">
        <v>8728.08</v>
      </c>
      <c r="O368" s="22">
        <v>8728.08</v>
      </c>
      <c r="P368" s="23">
        <f>Table2[[#This Row],[Sum of Old TB]]-Table2[[#This Row],[Sum of New TB]]</f>
        <v>0</v>
      </c>
    </row>
    <row r="369" customHeight="1" spans="2:16">
      <c r="B369" s="8" t="s">
        <v>521</v>
      </c>
      <c r="C369" s="9" t="s">
        <v>121</v>
      </c>
      <c r="D369" s="1">
        <v>501.46</v>
      </c>
      <c r="E369" s="9"/>
      <c r="G369" s="1" t="s">
        <v>503</v>
      </c>
      <c r="H369" s="1" t="s">
        <v>167</v>
      </c>
      <c r="I369" s="2">
        <v>1480.17</v>
      </c>
      <c r="J369" s="2">
        <v>1480.17</v>
      </c>
      <c r="L369" s="12" t="s">
        <v>506</v>
      </c>
      <c r="M369" s="9" t="s">
        <v>177</v>
      </c>
      <c r="N369" s="21">
        <v>20662.59</v>
      </c>
      <c r="O369" s="22">
        <v>20662.59</v>
      </c>
      <c r="P369" s="23">
        <f>Table2[[#This Row],[Sum of Old TB]]-Table2[[#This Row],[Sum of New TB]]</f>
        <v>0</v>
      </c>
    </row>
    <row r="370" customHeight="1" spans="2:16">
      <c r="B370" s="8" t="s">
        <v>522</v>
      </c>
      <c r="C370" s="9" t="s">
        <v>129</v>
      </c>
      <c r="D370" s="1">
        <v>-2551.7</v>
      </c>
      <c r="E370" s="9"/>
      <c r="G370" s="1" t="s">
        <v>504</v>
      </c>
      <c r="H370" s="1" t="s">
        <v>171</v>
      </c>
      <c r="I370" s="2">
        <v>1098.07</v>
      </c>
      <c r="J370" s="2">
        <v>1098.07</v>
      </c>
      <c r="L370" s="12" t="s">
        <v>507</v>
      </c>
      <c r="M370" s="9" t="s">
        <v>179</v>
      </c>
      <c r="N370" s="21">
        <v>2104.16</v>
      </c>
      <c r="O370" s="22">
        <v>2104.16</v>
      </c>
      <c r="P370" s="23">
        <f>Table2[[#This Row],[Sum of Old TB]]-Table2[[#This Row],[Sum of New TB]]</f>
        <v>0</v>
      </c>
    </row>
    <row r="371" customHeight="1" spans="2:16">
      <c r="B371" s="8" t="s">
        <v>523</v>
      </c>
      <c r="C371" s="9" t="s">
        <v>131</v>
      </c>
      <c r="D371" s="1">
        <v>828</v>
      </c>
      <c r="E371" s="9"/>
      <c r="G371" s="1" t="s">
        <v>505</v>
      </c>
      <c r="H371" s="1" t="s">
        <v>175</v>
      </c>
      <c r="I371" s="2">
        <v>8728.08</v>
      </c>
      <c r="J371" s="2">
        <v>8728.08</v>
      </c>
      <c r="L371" s="12" t="s">
        <v>508</v>
      </c>
      <c r="M371" s="9" t="s">
        <v>187</v>
      </c>
      <c r="N371" s="21">
        <v>46.99</v>
      </c>
      <c r="O371" s="22">
        <v>46.99</v>
      </c>
      <c r="P371" s="23">
        <f>Table2[[#This Row],[Sum of Old TB]]-Table2[[#This Row],[Sum of New TB]]</f>
        <v>0</v>
      </c>
    </row>
    <row r="372" customHeight="1" spans="2:16">
      <c r="B372" s="8" t="s">
        <v>524</v>
      </c>
      <c r="C372" s="9" t="s">
        <v>133</v>
      </c>
      <c r="D372" s="1">
        <v>391.47</v>
      </c>
      <c r="E372" s="9"/>
      <c r="G372" s="1" t="s">
        <v>506</v>
      </c>
      <c r="H372" s="1" t="s">
        <v>177</v>
      </c>
      <c r="I372" s="2">
        <v>20662.59</v>
      </c>
      <c r="J372" s="2">
        <v>20662.59</v>
      </c>
      <c r="L372" s="12" t="s">
        <v>509</v>
      </c>
      <c r="M372" s="9" t="s">
        <v>266</v>
      </c>
      <c r="N372" s="21">
        <v>735</v>
      </c>
      <c r="O372" s="22">
        <v>735</v>
      </c>
      <c r="P372" s="23">
        <f>Table2[[#This Row],[Sum of Old TB]]-Table2[[#This Row],[Sum of New TB]]</f>
        <v>0</v>
      </c>
    </row>
    <row r="373" customHeight="1" spans="2:16">
      <c r="B373" s="8" t="s">
        <v>525</v>
      </c>
      <c r="C373" s="9" t="s">
        <v>139</v>
      </c>
      <c r="D373" s="1">
        <v>1.16</v>
      </c>
      <c r="E373" s="9"/>
      <c r="G373" s="1" t="s">
        <v>507</v>
      </c>
      <c r="H373" s="1" t="s">
        <v>179</v>
      </c>
      <c r="I373" s="2">
        <v>2104.16</v>
      </c>
      <c r="J373" s="2">
        <v>2104.16</v>
      </c>
      <c r="L373" s="12" t="s">
        <v>510</v>
      </c>
      <c r="M373" s="9" t="s">
        <v>511</v>
      </c>
      <c r="N373" s="21">
        <v>3714.9</v>
      </c>
      <c r="O373" s="22">
        <v>3714.9</v>
      </c>
      <c r="P373" s="23">
        <f>Table2[[#This Row],[Sum of Old TB]]-Table2[[#This Row],[Sum of New TB]]</f>
        <v>0</v>
      </c>
    </row>
    <row r="374" customHeight="1" spans="2:16">
      <c r="B374" s="8" t="s">
        <v>526</v>
      </c>
      <c r="C374" s="9" t="s">
        <v>143</v>
      </c>
      <c r="D374" s="1">
        <v>230.1</v>
      </c>
      <c r="E374" s="9"/>
      <c r="G374" s="1" t="s">
        <v>508</v>
      </c>
      <c r="H374" s="1" t="s">
        <v>187</v>
      </c>
      <c r="I374" s="2">
        <v>46.99</v>
      </c>
      <c r="J374" s="2">
        <v>46.99</v>
      </c>
      <c r="L374" s="12" t="s">
        <v>512</v>
      </c>
      <c r="M374" s="9" t="s">
        <v>195</v>
      </c>
      <c r="N374" s="21">
        <v>2719.23</v>
      </c>
      <c r="O374" s="22">
        <v>2577.77</v>
      </c>
      <c r="P374" s="23">
        <f>Table2[[#This Row],[Sum of Old TB]]-Table2[[#This Row],[Sum of New TB]]</f>
        <v>141.46</v>
      </c>
    </row>
    <row r="375" customHeight="1" spans="2:16">
      <c r="B375" s="8" t="s">
        <v>527</v>
      </c>
      <c r="C375" s="9" t="s">
        <v>147</v>
      </c>
      <c r="D375" s="1">
        <v>4390.68</v>
      </c>
      <c r="E375" s="9"/>
      <c r="G375" s="1" t="s">
        <v>509</v>
      </c>
      <c r="H375" s="1" t="s">
        <v>266</v>
      </c>
      <c r="I375" s="2">
        <v>735</v>
      </c>
      <c r="J375" s="2">
        <v>735</v>
      </c>
      <c r="L375" s="12" t="s">
        <v>528</v>
      </c>
      <c r="M375" s="9" t="s">
        <v>220</v>
      </c>
      <c r="N375" s="21"/>
      <c r="O375" s="22">
        <v>5409.23</v>
      </c>
      <c r="P375" s="23">
        <f>Table2[[#This Row],[Sum of Old TB]]-Table2[[#This Row],[Sum of New TB]]</f>
        <v>-5409.23</v>
      </c>
    </row>
    <row r="376" customHeight="1" spans="2:16">
      <c r="B376" s="8" t="s">
        <v>529</v>
      </c>
      <c r="C376" s="9" t="s">
        <v>153</v>
      </c>
      <c r="D376" s="1">
        <v>6128.43</v>
      </c>
      <c r="E376" s="9"/>
      <c r="G376" s="1" t="s">
        <v>510</v>
      </c>
      <c r="H376" s="1" t="s">
        <v>511</v>
      </c>
      <c r="I376" s="2">
        <v>3714.9</v>
      </c>
      <c r="J376" s="2">
        <v>3714.9</v>
      </c>
      <c r="L376" s="12" t="s">
        <v>530</v>
      </c>
      <c r="M376" s="9" t="s">
        <v>531</v>
      </c>
      <c r="N376" s="21"/>
      <c r="O376" s="22">
        <v>10648.32</v>
      </c>
      <c r="P376" s="23">
        <f>Table2[[#This Row],[Sum of Old TB]]-Table2[[#This Row],[Sum of New TB]]</f>
        <v>-10648.32</v>
      </c>
    </row>
    <row r="377" customHeight="1" spans="2:16">
      <c r="B377" s="8" t="s">
        <v>532</v>
      </c>
      <c r="C377" s="9" t="s">
        <v>165</v>
      </c>
      <c r="D377" s="1">
        <v>1044.01</v>
      </c>
      <c r="E377" s="9"/>
      <c r="G377" s="1" t="s">
        <v>512</v>
      </c>
      <c r="H377" s="1" t="s">
        <v>195</v>
      </c>
      <c r="I377" s="2">
        <v>2719.23</v>
      </c>
      <c r="J377" s="2">
        <v>2577.77</v>
      </c>
      <c r="L377" s="12" t="s">
        <v>513</v>
      </c>
      <c r="M377" s="9" t="s">
        <v>275</v>
      </c>
      <c r="N377" s="21">
        <v>52628</v>
      </c>
      <c r="O377" s="22">
        <v>52628</v>
      </c>
      <c r="P377" s="23">
        <f>Table2[[#This Row],[Sum of Old TB]]-Table2[[#This Row],[Sum of New TB]]</f>
        <v>0</v>
      </c>
    </row>
    <row r="378" customHeight="1" spans="2:16">
      <c r="B378" s="8" t="s">
        <v>533</v>
      </c>
      <c r="C378" s="9" t="s">
        <v>171</v>
      </c>
      <c r="D378" s="1">
        <v>-96.09</v>
      </c>
      <c r="E378" s="9"/>
      <c r="G378" s="1" t="s">
        <v>528</v>
      </c>
      <c r="H378" s="1" t="s">
        <v>220</v>
      </c>
      <c r="J378" s="2">
        <v>5409.23</v>
      </c>
      <c r="L378" s="12" t="s">
        <v>514</v>
      </c>
      <c r="M378" s="9" t="s">
        <v>277</v>
      </c>
      <c r="N378" s="21">
        <v>71205.94</v>
      </c>
      <c r="O378" s="22">
        <v>71205.94</v>
      </c>
      <c r="P378" s="23">
        <f>Table2[[#This Row],[Sum of Old TB]]-Table2[[#This Row],[Sum of New TB]]</f>
        <v>0</v>
      </c>
    </row>
    <row r="379" customHeight="1" spans="2:16">
      <c r="B379" s="8" t="s">
        <v>534</v>
      </c>
      <c r="C379" s="9" t="s">
        <v>535</v>
      </c>
      <c r="D379" s="1">
        <v>1308.49</v>
      </c>
      <c r="E379" s="9"/>
      <c r="G379" s="1" t="s">
        <v>530</v>
      </c>
      <c r="H379" s="1" t="s">
        <v>531</v>
      </c>
      <c r="J379" s="2">
        <v>10648.32</v>
      </c>
      <c r="L379" s="12" t="s">
        <v>515</v>
      </c>
      <c r="M379" s="9" t="s">
        <v>40</v>
      </c>
      <c r="N379" s="21">
        <v>-70584.8</v>
      </c>
      <c r="O379" s="22">
        <v>-70584.8</v>
      </c>
      <c r="P379" s="23">
        <f>Table2[[#This Row],[Sum of Old TB]]-Table2[[#This Row],[Sum of New TB]]</f>
        <v>0</v>
      </c>
    </row>
    <row r="380" customHeight="1" spans="2:16">
      <c r="B380" s="8" t="s">
        <v>536</v>
      </c>
      <c r="C380" s="9" t="s">
        <v>175</v>
      </c>
      <c r="D380" s="1">
        <v>14287.19</v>
      </c>
      <c r="E380" s="9"/>
      <c r="G380" s="1" t="s">
        <v>513</v>
      </c>
      <c r="H380" s="1" t="s">
        <v>275</v>
      </c>
      <c r="I380" s="2">
        <v>52628</v>
      </c>
      <c r="J380" s="2">
        <v>52628</v>
      </c>
      <c r="L380" s="12" t="s">
        <v>516</v>
      </c>
      <c r="M380" s="9" t="s">
        <v>42</v>
      </c>
      <c r="N380" s="21">
        <v>-621.14</v>
      </c>
      <c r="O380" s="22">
        <v>-621.14</v>
      </c>
      <c r="P380" s="23">
        <f>Table2[[#This Row],[Sum of Old TB]]-Table2[[#This Row],[Sum of New TB]]</f>
        <v>0</v>
      </c>
    </row>
    <row r="381" customHeight="1" spans="2:16">
      <c r="B381" s="8" t="s">
        <v>537</v>
      </c>
      <c r="C381" s="9" t="s">
        <v>179</v>
      </c>
      <c r="D381" s="1">
        <v>13300.81</v>
      </c>
      <c r="E381" s="9"/>
      <c r="G381" s="1" t="s">
        <v>514</v>
      </c>
      <c r="H381" s="1" t="s">
        <v>277</v>
      </c>
      <c r="I381" s="2">
        <v>71205.94</v>
      </c>
      <c r="J381" s="2">
        <v>71205.94</v>
      </c>
      <c r="L381" s="12" t="s">
        <v>517</v>
      </c>
      <c r="M381" s="9" t="s">
        <v>69</v>
      </c>
      <c r="N381" s="21">
        <v>-303663.12</v>
      </c>
      <c r="O381" s="22">
        <v>-303663.12</v>
      </c>
      <c r="P381" s="23">
        <f>Table2[[#This Row],[Sum of Old TB]]-Table2[[#This Row],[Sum of New TB]]</f>
        <v>0</v>
      </c>
    </row>
    <row r="382" customHeight="1" spans="2:16">
      <c r="B382" s="8" t="s">
        <v>538</v>
      </c>
      <c r="C382" s="9" t="s">
        <v>266</v>
      </c>
      <c r="D382" s="1">
        <v>4010</v>
      </c>
      <c r="E382" s="9"/>
      <c r="G382" s="1" t="s">
        <v>515</v>
      </c>
      <c r="H382" s="1" t="s">
        <v>40</v>
      </c>
      <c r="I382" s="2">
        <v>-70584.8</v>
      </c>
      <c r="J382" s="2">
        <v>-70584.8</v>
      </c>
      <c r="L382" s="12" t="s">
        <v>518</v>
      </c>
      <c r="M382" s="9" t="s">
        <v>107</v>
      </c>
      <c r="N382" s="21">
        <v>172457.03</v>
      </c>
      <c r="O382" s="22">
        <v>172457.03</v>
      </c>
      <c r="P382" s="23">
        <f>Table2[[#This Row],[Sum of Old TB]]-Table2[[#This Row],[Sum of New TB]]</f>
        <v>0</v>
      </c>
    </row>
    <row r="383" customHeight="1" spans="2:16">
      <c r="B383" s="8" t="s">
        <v>539</v>
      </c>
      <c r="C383" s="9" t="s">
        <v>540</v>
      </c>
      <c r="D383" s="1">
        <v>628.15</v>
      </c>
      <c r="E383" s="9"/>
      <c r="G383" s="1" t="s">
        <v>516</v>
      </c>
      <c r="H383" s="1" t="s">
        <v>42</v>
      </c>
      <c r="I383" s="2">
        <v>-621.14</v>
      </c>
      <c r="J383" s="2">
        <v>-621.14</v>
      </c>
      <c r="L383" s="12" t="s">
        <v>519</v>
      </c>
      <c r="M383" s="9" t="s">
        <v>109</v>
      </c>
      <c r="N383" s="21">
        <v>14255.85</v>
      </c>
      <c r="O383" s="22">
        <v>14255.85</v>
      </c>
      <c r="P383" s="23">
        <f>Table2[[#This Row],[Sum of Old TB]]-Table2[[#This Row],[Sum of New TB]]</f>
        <v>0</v>
      </c>
    </row>
    <row r="384" customHeight="1" spans="2:16">
      <c r="B384" s="8" t="s">
        <v>541</v>
      </c>
      <c r="C384" s="9" t="s">
        <v>542</v>
      </c>
      <c r="D384" s="1">
        <v>31.34</v>
      </c>
      <c r="E384" s="9"/>
      <c r="G384" s="1" t="s">
        <v>517</v>
      </c>
      <c r="H384" s="1" t="s">
        <v>69</v>
      </c>
      <c r="I384" s="2">
        <v>-303663.12</v>
      </c>
      <c r="J384" s="2">
        <v>-303663.12</v>
      </c>
      <c r="L384" s="12" t="s">
        <v>520</v>
      </c>
      <c r="M384" s="9" t="s">
        <v>111</v>
      </c>
      <c r="N384" s="21">
        <v>31102.24</v>
      </c>
      <c r="O384" s="22">
        <v>31102.24</v>
      </c>
      <c r="P384" s="23">
        <f>Table2[[#This Row],[Sum of Old TB]]-Table2[[#This Row],[Sum of New TB]]</f>
        <v>0</v>
      </c>
    </row>
    <row r="385" customHeight="1" spans="2:16">
      <c r="B385" s="8" t="s">
        <v>543</v>
      </c>
      <c r="C385" s="9" t="s">
        <v>377</v>
      </c>
      <c r="D385" s="1">
        <v>-673.01</v>
      </c>
      <c r="E385" s="9"/>
      <c r="G385" s="1" t="s">
        <v>518</v>
      </c>
      <c r="H385" s="1" t="s">
        <v>107</v>
      </c>
      <c r="I385" s="2">
        <v>172457.03</v>
      </c>
      <c r="J385" s="2">
        <v>172457.03</v>
      </c>
      <c r="L385" s="12" t="s">
        <v>521</v>
      </c>
      <c r="M385" s="9" t="s">
        <v>121</v>
      </c>
      <c r="N385" s="21">
        <v>501.46</v>
      </c>
      <c r="O385" s="22">
        <v>501.46</v>
      </c>
      <c r="P385" s="23">
        <f>Table2[[#This Row],[Sum of Old TB]]-Table2[[#This Row],[Sum of New TB]]</f>
        <v>0</v>
      </c>
    </row>
    <row r="386" customHeight="1" spans="2:16">
      <c r="B386" s="8" t="s">
        <v>544</v>
      </c>
      <c r="C386" s="9" t="s">
        <v>275</v>
      </c>
      <c r="D386" s="1">
        <v>42087.51</v>
      </c>
      <c r="E386" s="9"/>
      <c r="G386" s="1" t="s">
        <v>519</v>
      </c>
      <c r="H386" s="1" t="s">
        <v>109</v>
      </c>
      <c r="I386" s="2">
        <v>14255.85</v>
      </c>
      <c r="J386" s="2">
        <v>14255.85</v>
      </c>
      <c r="L386" s="12" t="s">
        <v>522</v>
      </c>
      <c r="M386" s="9" t="s">
        <v>129</v>
      </c>
      <c r="N386" s="21">
        <v>-2551.7</v>
      </c>
      <c r="O386" s="22">
        <v>-2551.7</v>
      </c>
      <c r="P386" s="23">
        <f>Table2[[#This Row],[Sum of Old TB]]-Table2[[#This Row],[Sum of New TB]]</f>
        <v>0</v>
      </c>
    </row>
    <row r="387" customHeight="1" spans="2:16">
      <c r="B387" s="8" t="s">
        <v>545</v>
      </c>
      <c r="C387" s="9" t="s">
        <v>40</v>
      </c>
      <c r="D387" s="1">
        <v>30384.55</v>
      </c>
      <c r="E387" s="9"/>
      <c r="G387" s="1" t="s">
        <v>520</v>
      </c>
      <c r="H387" s="1" t="s">
        <v>111</v>
      </c>
      <c r="I387" s="2">
        <v>31102.24</v>
      </c>
      <c r="J387" s="2">
        <v>31102.24</v>
      </c>
      <c r="L387" s="12" t="s">
        <v>523</v>
      </c>
      <c r="M387" s="9" t="s">
        <v>131</v>
      </c>
      <c r="N387" s="21">
        <v>828</v>
      </c>
      <c r="O387" s="22">
        <v>828</v>
      </c>
      <c r="P387" s="23">
        <f>Table2[[#This Row],[Sum of Old TB]]-Table2[[#This Row],[Sum of New TB]]</f>
        <v>0</v>
      </c>
    </row>
    <row r="388" customHeight="1" spans="2:16">
      <c r="B388" s="8" t="s">
        <v>546</v>
      </c>
      <c r="C388" s="9" t="s">
        <v>42</v>
      </c>
      <c r="D388" s="1">
        <v>-1768.03</v>
      </c>
      <c r="E388" s="9"/>
      <c r="G388" s="1" t="s">
        <v>521</v>
      </c>
      <c r="H388" s="1" t="s">
        <v>121</v>
      </c>
      <c r="I388" s="2">
        <v>501.46</v>
      </c>
      <c r="J388" s="2">
        <v>501.46</v>
      </c>
      <c r="L388" s="12" t="s">
        <v>524</v>
      </c>
      <c r="M388" s="9" t="s">
        <v>133</v>
      </c>
      <c r="N388" s="21">
        <v>391.47</v>
      </c>
      <c r="O388" s="22">
        <v>391.47</v>
      </c>
      <c r="P388" s="23">
        <f>Table2[[#This Row],[Sum of Old TB]]-Table2[[#This Row],[Sum of New TB]]</f>
        <v>0</v>
      </c>
    </row>
    <row r="389" customHeight="1" spans="2:16">
      <c r="B389" s="8" t="s">
        <v>547</v>
      </c>
      <c r="C389" s="9" t="s">
        <v>228</v>
      </c>
      <c r="D389" s="1">
        <v>-28616.52</v>
      </c>
      <c r="E389" s="9"/>
      <c r="G389" s="1" t="s">
        <v>522</v>
      </c>
      <c r="H389" s="1" t="s">
        <v>129</v>
      </c>
      <c r="I389" s="2">
        <v>-2551.7</v>
      </c>
      <c r="J389" s="2">
        <v>-2551.7</v>
      </c>
      <c r="L389" s="12" t="s">
        <v>525</v>
      </c>
      <c r="M389" s="9" t="s">
        <v>139</v>
      </c>
      <c r="N389" s="21">
        <v>1.16</v>
      </c>
      <c r="O389" s="22">
        <v>1.16</v>
      </c>
      <c r="P389" s="23">
        <f>Table2[[#This Row],[Sum of Old TB]]-Table2[[#This Row],[Sum of New TB]]</f>
        <v>0</v>
      </c>
    </row>
    <row r="390" customHeight="1" spans="2:16">
      <c r="B390" s="8" t="s">
        <v>548</v>
      </c>
      <c r="C390" s="9" t="s">
        <v>69</v>
      </c>
      <c r="D390" s="1">
        <v>-146339.45</v>
      </c>
      <c r="E390" s="9"/>
      <c r="G390" s="1" t="s">
        <v>523</v>
      </c>
      <c r="H390" s="1" t="s">
        <v>131</v>
      </c>
      <c r="I390" s="2">
        <v>828</v>
      </c>
      <c r="J390" s="2">
        <v>828</v>
      </c>
      <c r="L390" s="12" t="s">
        <v>526</v>
      </c>
      <c r="M390" s="9" t="s">
        <v>143</v>
      </c>
      <c r="N390" s="21">
        <v>230.1</v>
      </c>
      <c r="O390" s="22">
        <v>230.1</v>
      </c>
      <c r="P390" s="23">
        <f>Table2[[#This Row],[Sum of Old TB]]-Table2[[#This Row],[Sum of New TB]]</f>
        <v>0</v>
      </c>
    </row>
    <row r="391" customHeight="1" spans="2:16">
      <c r="B391" s="8" t="s">
        <v>549</v>
      </c>
      <c r="C391" s="9" t="s">
        <v>107</v>
      </c>
      <c r="D391" s="1">
        <v>18072</v>
      </c>
      <c r="E391" s="9"/>
      <c r="G391" s="1" t="s">
        <v>524</v>
      </c>
      <c r="H391" s="1" t="s">
        <v>133</v>
      </c>
      <c r="I391" s="2">
        <v>391.47</v>
      </c>
      <c r="J391" s="2">
        <v>391.47</v>
      </c>
      <c r="L391" s="12" t="s">
        <v>527</v>
      </c>
      <c r="M391" s="9" t="s">
        <v>147</v>
      </c>
      <c r="N391" s="21">
        <v>4390.68</v>
      </c>
      <c r="O391" s="22">
        <v>4390.68</v>
      </c>
      <c r="P391" s="23">
        <f>Table2[[#This Row],[Sum of Old TB]]-Table2[[#This Row],[Sum of New TB]]</f>
        <v>0</v>
      </c>
    </row>
    <row r="392" customHeight="1" spans="2:16">
      <c r="B392" s="8" t="s">
        <v>550</v>
      </c>
      <c r="C392" s="9" t="s">
        <v>109</v>
      </c>
      <c r="D392" s="1">
        <v>1841.36</v>
      </c>
      <c r="E392" s="9"/>
      <c r="G392" s="1" t="s">
        <v>525</v>
      </c>
      <c r="H392" s="1" t="s">
        <v>139</v>
      </c>
      <c r="I392" s="2">
        <v>1.16</v>
      </c>
      <c r="J392" s="2">
        <v>1.16</v>
      </c>
      <c r="L392" s="12" t="s">
        <v>529</v>
      </c>
      <c r="M392" s="9" t="s">
        <v>153</v>
      </c>
      <c r="N392" s="21">
        <v>6128.43</v>
      </c>
      <c r="O392" s="22">
        <v>6128.43</v>
      </c>
      <c r="P392" s="23">
        <f>Table2[[#This Row],[Sum of Old TB]]-Table2[[#This Row],[Sum of New TB]]</f>
        <v>0</v>
      </c>
    </row>
    <row r="393" customHeight="1" spans="2:16">
      <c r="B393" s="8" t="s">
        <v>551</v>
      </c>
      <c r="C393" s="9" t="s">
        <v>111</v>
      </c>
      <c r="D393" s="1">
        <v>731</v>
      </c>
      <c r="E393" s="9"/>
      <c r="G393" s="1" t="s">
        <v>526</v>
      </c>
      <c r="H393" s="1" t="s">
        <v>143</v>
      </c>
      <c r="I393" s="2">
        <v>230.1</v>
      </c>
      <c r="J393" s="2">
        <v>230.1</v>
      </c>
      <c r="L393" s="12" t="s">
        <v>552</v>
      </c>
      <c r="M393" s="9" t="s">
        <v>161</v>
      </c>
      <c r="N393" s="21"/>
      <c r="O393" s="22">
        <v>13047.85</v>
      </c>
      <c r="P393" s="23">
        <f>Table2[[#This Row],[Sum of Old TB]]-Table2[[#This Row],[Sum of New TB]]</f>
        <v>-13047.85</v>
      </c>
    </row>
    <row r="394" customHeight="1" spans="2:16">
      <c r="B394" s="8" t="s">
        <v>553</v>
      </c>
      <c r="C394" s="9" t="s">
        <v>129</v>
      </c>
      <c r="D394" s="1">
        <v>41223.58</v>
      </c>
      <c r="E394" s="9"/>
      <c r="G394" s="1" t="s">
        <v>527</v>
      </c>
      <c r="H394" s="1" t="s">
        <v>147</v>
      </c>
      <c r="I394" s="2">
        <v>4390.68</v>
      </c>
      <c r="J394" s="2">
        <v>4390.68</v>
      </c>
      <c r="L394" s="12" t="s">
        <v>532</v>
      </c>
      <c r="M394" s="9" t="s">
        <v>165</v>
      </c>
      <c r="N394" s="21">
        <v>1044.01</v>
      </c>
      <c r="O394" s="22">
        <v>1044.01</v>
      </c>
      <c r="P394" s="23">
        <f>Table2[[#This Row],[Sum of Old TB]]-Table2[[#This Row],[Sum of New TB]]</f>
        <v>0</v>
      </c>
    </row>
    <row r="395" customHeight="1" spans="2:16">
      <c r="B395" s="8" t="s">
        <v>554</v>
      </c>
      <c r="C395" s="9" t="s">
        <v>131</v>
      </c>
      <c r="D395" s="1">
        <v>276</v>
      </c>
      <c r="E395" s="9"/>
      <c r="G395" s="1" t="s">
        <v>529</v>
      </c>
      <c r="H395" s="1" t="s">
        <v>153</v>
      </c>
      <c r="I395" s="2">
        <v>6128.43</v>
      </c>
      <c r="J395" s="2">
        <v>6128.43</v>
      </c>
      <c r="L395" s="12" t="s">
        <v>533</v>
      </c>
      <c r="M395" s="9" t="s">
        <v>171</v>
      </c>
      <c r="N395" s="21">
        <v>-96.09</v>
      </c>
      <c r="O395" s="22">
        <v>-96.09</v>
      </c>
      <c r="P395" s="23">
        <f>Table2[[#This Row],[Sum of Old TB]]-Table2[[#This Row],[Sum of New TB]]</f>
        <v>0</v>
      </c>
    </row>
    <row r="396" customHeight="1" spans="2:16">
      <c r="B396" s="8" t="s">
        <v>555</v>
      </c>
      <c r="C396" s="9" t="s">
        <v>137</v>
      </c>
      <c r="D396" s="1">
        <v>528.94</v>
      </c>
      <c r="E396" s="9"/>
      <c r="G396" s="1" t="s">
        <v>552</v>
      </c>
      <c r="H396" s="1" t="s">
        <v>161</v>
      </c>
      <c r="J396" s="2">
        <v>13047.85</v>
      </c>
      <c r="L396" s="12" t="s">
        <v>534</v>
      </c>
      <c r="M396" s="9" t="s">
        <v>535</v>
      </c>
      <c r="N396" s="21">
        <v>1308.49</v>
      </c>
      <c r="O396" s="22">
        <v>1308.49</v>
      </c>
      <c r="P396" s="23">
        <f>Table2[[#This Row],[Sum of Old TB]]-Table2[[#This Row],[Sum of New TB]]</f>
        <v>0</v>
      </c>
    </row>
    <row r="397" customHeight="1" spans="2:16">
      <c r="B397" s="8" t="s">
        <v>556</v>
      </c>
      <c r="C397" s="9" t="s">
        <v>147</v>
      </c>
      <c r="D397" s="1">
        <v>5696.65</v>
      </c>
      <c r="E397" s="9"/>
      <c r="G397" s="1" t="s">
        <v>532</v>
      </c>
      <c r="H397" s="1" t="s">
        <v>165</v>
      </c>
      <c r="I397" s="2">
        <v>1044.01</v>
      </c>
      <c r="J397" s="2">
        <v>1044.01</v>
      </c>
      <c r="L397" s="12" t="s">
        <v>536</v>
      </c>
      <c r="M397" s="9" t="s">
        <v>175</v>
      </c>
      <c r="N397" s="21">
        <v>14287.19</v>
      </c>
      <c r="O397" s="22">
        <v>14287.19</v>
      </c>
      <c r="P397" s="23">
        <f>Table2[[#This Row],[Sum of Old TB]]-Table2[[#This Row],[Sum of New TB]]</f>
        <v>0</v>
      </c>
    </row>
    <row r="398" customHeight="1" spans="2:16">
      <c r="B398" s="8" t="s">
        <v>557</v>
      </c>
      <c r="C398" s="9" t="s">
        <v>153</v>
      </c>
      <c r="D398" s="1">
        <v>3142.24</v>
      </c>
      <c r="E398" s="9"/>
      <c r="G398" s="1" t="s">
        <v>533</v>
      </c>
      <c r="H398" s="1" t="s">
        <v>171</v>
      </c>
      <c r="I398" s="2">
        <v>-96.09</v>
      </c>
      <c r="J398" s="2">
        <v>-96.09</v>
      </c>
      <c r="L398" s="12" t="s">
        <v>537</v>
      </c>
      <c r="M398" s="9" t="s">
        <v>179</v>
      </c>
      <c r="N398" s="21">
        <v>13300.81</v>
      </c>
      <c r="O398" s="22">
        <v>252.96</v>
      </c>
      <c r="P398" s="23">
        <f>Table2[[#This Row],[Sum of Old TB]]-Table2[[#This Row],[Sum of New TB]]</f>
        <v>13047.85</v>
      </c>
    </row>
    <row r="399" customHeight="1" spans="2:16">
      <c r="B399" s="8" t="s">
        <v>558</v>
      </c>
      <c r="C399" s="9" t="s">
        <v>165</v>
      </c>
      <c r="D399" s="1">
        <v>16987.6</v>
      </c>
      <c r="E399" s="9"/>
      <c r="G399" s="1" t="s">
        <v>534</v>
      </c>
      <c r="H399" s="1" t="s">
        <v>535</v>
      </c>
      <c r="I399" s="2">
        <v>1308.49</v>
      </c>
      <c r="J399" s="2">
        <v>1308.49</v>
      </c>
      <c r="L399" s="12" t="s">
        <v>538</v>
      </c>
      <c r="M399" s="9" t="s">
        <v>266</v>
      </c>
      <c r="N399" s="21">
        <v>4010</v>
      </c>
      <c r="O399" s="22">
        <v>4010</v>
      </c>
      <c r="P399" s="23">
        <f>Table2[[#This Row],[Sum of Old TB]]-Table2[[#This Row],[Sum of New TB]]</f>
        <v>0</v>
      </c>
    </row>
    <row r="400" customHeight="1" spans="2:16">
      <c r="B400" s="8" t="s">
        <v>559</v>
      </c>
      <c r="C400" s="9" t="s">
        <v>469</v>
      </c>
      <c r="D400" s="1">
        <v>1877</v>
      </c>
      <c r="E400" s="9"/>
      <c r="G400" s="1" t="s">
        <v>536</v>
      </c>
      <c r="H400" s="1" t="s">
        <v>175</v>
      </c>
      <c r="I400" s="2">
        <v>14287.19</v>
      </c>
      <c r="J400" s="2">
        <v>14287.19</v>
      </c>
      <c r="L400" s="12" t="s">
        <v>539</v>
      </c>
      <c r="M400" s="9" t="s">
        <v>540</v>
      </c>
      <c r="N400" s="21">
        <v>628.15</v>
      </c>
      <c r="O400" s="22">
        <v>628.15</v>
      </c>
      <c r="P400" s="23">
        <f>Table2[[#This Row],[Sum of Old TB]]-Table2[[#This Row],[Sum of New TB]]</f>
        <v>0</v>
      </c>
    </row>
    <row r="401" customHeight="1" spans="2:16">
      <c r="B401" s="8" t="s">
        <v>560</v>
      </c>
      <c r="C401" s="9" t="s">
        <v>175</v>
      </c>
      <c r="D401" s="1">
        <v>8028.69</v>
      </c>
      <c r="E401" s="9"/>
      <c r="G401" s="1" t="s">
        <v>537</v>
      </c>
      <c r="H401" s="1" t="s">
        <v>179</v>
      </c>
      <c r="I401" s="2">
        <v>13300.81</v>
      </c>
      <c r="J401" s="2">
        <v>252.96</v>
      </c>
      <c r="L401" s="12" t="s">
        <v>541</v>
      </c>
      <c r="M401" s="9" t="s">
        <v>542</v>
      </c>
      <c r="N401" s="21">
        <v>31.34</v>
      </c>
      <c r="O401" s="22">
        <v>31.34</v>
      </c>
      <c r="P401" s="23">
        <f>Table2[[#This Row],[Sum of Old TB]]-Table2[[#This Row],[Sum of New TB]]</f>
        <v>0</v>
      </c>
    </row>
    <row r="402" customHeight="1" spans="2:16">
      <c r="B402" s="8" t="s">
        <v>561</v>
      </c>
      <c r="C402" s="9" t="s">
        <v>179</v>
      </c>
      <c r="D402" s="1">
        <v>599.26</v>
      </c>
      <c r="E402" s="9"/>
      <c r="G402" s="1" t="s">
        <v>538</v>
      </c>
      <c r="H402" s="1" t="s">
        <v>266</v>
      </c>
      <c r="I402" s="2">
        <v>4010</v>
      </c>
      <c r="J402" s="2">
        <v>4010</v>
      </c>
      <c r="L402" s="12" t="s">
        <v>543</v>
      </c>
      <c r="M402" s="9" t="s">
        <v>377</v>
      </c>
      <c r="N402" s="21">
        <v>-673.01</v>
      </c>
      <c r="O402" s="22">
        <v>-673.01</v>
      </c>
      <c r="P402" s="23">
        <f>Table2[[#This Row],[Sum of Old TB]]-Table2[[#This Row],[Sum of New TB]]</f>
        <v>0</v>
      </c>
    </row>
    <row r="403" customHeight="1" spans="2:16">
      <c r="B403" s="8" t="s">
        <v>562</v>
      </c>
      <c r="C403" s="9" t="s">
        <v>185</v>
      </c>
      <c r="D403" s="1">
        <v>602.04</v>
      </c>
      <c r="E403" s="9"/>
      <c r="G403" s="1" t="s">
        <v>539</v>
      </c>
      <c r="H403" s="1" t="s">
        <v>540</v>
      </c>
      <c r="I403" s="2">
        <v>628.15</v>
      </c>
      <c r="J403" s="2">
        <v>628.15</v>
      </c>
      <c r="L403" s="12" t="s">
        <v>544</v>
      </c>
      <c r="M403" s="9" t="s">
        <v>275</v>
      </c>
      <c r="N403" s="21">
        <v>42087.51</v>
      </c>
      <c r="O403" s="22">
        <v>42087.51</v>
      </c>
      <c r="P403" s="23">
        <f>Table2[[#This Row],[Sum of Old TB]]-Table2[[#This Row],[Sum of New TB]]</f>
        <v>0</v>
      </c>
    </row>
    <row r="404" customHeight="1" spans="2:16">
      <c r="B404" s="8" t="s">
        <v>563</v>
      </c>
      <c r="C404" s="9" t="s">
        <v>197</v>
      </c>
      <c r="D404" s="1">
        <v>1200.09</v>
      </c>
      <c r="E404" s="9"/>
      <c r="G404" s="1" t="s">
        <v>541</v>
      </c>
      <c r="H404" s="1" t="s">
        <v>542</v>
      </c>
      <c r="I404" s="2">
        <v>31.34</v>
      </c>
      <c r="J404" s="2">
        <v>31.34</v>
      </c>
      <c r="L404" s="12" t="s">
        <v>545</v>
      </c>
      <c r="M404" s="9" t="s">
        <v>40</v>
      </c>
      <c r="N404" s="21">
        <v>30384.55</v>
      </c>
      <c r="O404" s="22">
        <v>30384.55</v>
      </c>
      <c r="P404" s="23">
        <f>Table2[[#This Row],[Sum of Old TB]]-Table2[[#This Row],[Sum of New TB]]</f>
        <v>0</v>
      </c>
    </row>
    <row r="405" customHeight="1" spans="2:16">
      <c r="B405" s="8" t="s">
        <v>564</v>
      </c>
      <c r="C405" s="9" t="s">
        <v>208</v>
      </c>
      <c r="D405" s="1">
        <v>14037.92</v>
      </c>
      <c r="E405" s="9"/>
      <c r="G405" s="1" t="s">
        <v>543</v>
      </c>
      <c r="H405" s="1" t="s">
        <v>377</v>
      </c>
      <c r="I405" s="2">
        <v>-673.01</v>
      </c>
      <c r="J405" s="2">
        <v>-673.01</v>
      </c>
      <c r="L405" s="12" t="s">
        <v>546</v>
      </c>
      <c r="M405" s="9" t="s">
        <v>42</v>
      </c>
      <c r="N405" s="21">
        <v>-1768.03</v>
      </c>
      <c r="O405" s="22">
        <v>-1768.03</v>
      </c>
      <c r="P405" s="23">
        <f>Table2[[#This Row],[Sum of Old TB]]-Table2[[#This Row],[Sum of New TB]]</f>
        <v>0</v>
      </c>
    </row>
    <row r="406" customHeight="1" spans="2:16">
      <c r="B406" s="8" t="s">
        <v>565</v>
      </c>
      <c r="C406" s="9" t="s">
        <v>377</v>
      </c>
      <c r="D406" s="1">
        <v>31495.08</v>
      </c>
      <c r="E406" s="9"/>
      <c r="G406" s="1" t="s">
        <v>544</v>
      </c>
      <c r="H406" s="1" t="s">
        <v>275</v>
      </c>
      <c r="I406" s="2">
        <v>42087.51</v>
      </c>
      <c r="J406" s="2">
        <v>42087.51</v>
      </c>
      <c r="L406" s="12" t="s">
        <v>547</v>
      </c>
      <c r="M406" s="9" t="s">
        <v>228</v>
      </c>
      <c r="N406" s="21">
        <v>-28616.52</v>
      </c>
      <c r="O406" s="22">
        <v>-28616.52</v>
      </c>
      <c r="P406" s="23">
        <f>Table2[[#This Row],[Sum of Old TB]]-Table2[[#This Row],[Sum of New TB]]</f>
        <v>0</v>
      </c>
    </row>
    <row r="407" customHeight="1" spans="2:16">
      <c r="B407" s="8" t="s">
        <v>566</v>
      </c>
      <c r="C407" s="9" t="s">
        <v>40</v>
      </c>
      <c r="D407" s="1">
        <v>240453.13</v>
      </c>
      <c r="E407" s="9"/>
      <c r="G407" s="1" t="s">
        <v>545</v>
      </c>
      <c r="H407" s="1" t="s">
        <v>40</v>
      </c>
      <c r="I407" s="2">
        <v>30384.55</v>
      </c>
      <c r="J407" s="2">
        <v>30384.55</v>
      </c>
      <c r="L407" s="12" t="s">
        <v>548</v>
      </c>
      <c r="M407" s="9" t="s">
        <v>69</v>
      </c>
      <c r="N407" s="21">
        <v>-146339.45</v>
      </c>
      <c r="O407" s="22">
        <v>-146339.45</v>
      </c>
      <c r="P407" s="23">
        <f>Table2[[#This Row],[Sum of Old TB]]-Table2[[#This Row],[Sum of New TB]]</f>
        <v>0</v>
      </c>
    </row>
    <row r="408" customHeight="1" spans="2:16">
      <c r="B408" s="8" t="s">
        <v>567</v>
      </c>
      <c r="C408" s="9" t="s">
        <v>228</v>
      </c>
      <c r="D408" s="1">
        <v>-240453.13</v>
      </c>
      <c r="E408" s="9"/>
      <c r="G408" s="1" t="s">
        <v>546</v>
      </c>
      <c r="H408" s="1" t="s">
        <v>42</v>
      </c>
      <c r="I408" s="2">
        <v>-1768.03</v>
      </c>
      <c r="J408" s="2">
        <v>-1768.03</v>
      </c>
      <c r="L408" s="12" t="s">
        <v>549</v>
      </c>
      <c r="M408" s="9" t="s">
        <v>107</v>
      </c>
      <c r="N408" s="21">
        <v>18072</v>
      </c>
      <c r="O408" s="22">
        <v>18072</v>
      </c>
      <c r="P408" s="23">
        <f>Table2[[#This Row],[Sum of Old TB]]-Table2[[#This Row],[Sum of New TB]]</f>
        <v>0</v>
      </c>
    </row>
    <row r="409" customHeight="1" spans="2:16">
      <c r="B409" s="8" t="s">
        <v>568</v>
      </c>
      <c r="C409" s="9" t="s">
        <v>69</v>
      </c>
      <c r="D409" s="1">
        <v>-82019.39</v>
      </c>
      <c r="E409" s="9"/>
      <c r="G409" s="1" t="s">
        <v>547</v>
      </c>
      <c r="H409" s="1" t="s">
        <v>228</v>
      </c>
      <c r="I409" s="2">
        <v>-28616.52</v>
      </c>
      <c r="J409" s="2">
        <v>-28616.52</v>
      </c>
      <c r="L409" s="12" t="s">
        <v>550</v>
      </c>
      <c r="M409" s="9" t="s">
        <v>109</v>
      </c>
      <c r="N409" s="21">
        <v>1841.36</v>
      </c>
      <c r="O409" s="22">
        <v>1841.36</v>
      </c>
      <c r="P409" s="23">
        <f>Table2[[#This Row],[Sum of Old TB]]-Table2[[#This Row],[Sum of New TB]]</f>
        <v>0</v>
      </c>
    </row>
    <row r="410" customHeight="1" spans="2:16">
      <c r="B410" s="8" t="s">
        <v>569</v>
      </c>
      <c r="C410" s="9" t="s">
        <v>107</v>
      </c>
      <c r="D410" s="1">
        <v>32362.1</v>
      </c>
      <c r="E410" s="9"/>
      <c r="G410" s="1" t="s">
        <v>548</v>
      </c>
      <c r="H410" s="1" t="s">
        <v>69</v>
      </c>
      <c r="I410" s="2">
        <v>-146339.45</v>
      </c>
      <c r="J410" s="2">
        <v>-146339.45</v>
      </c>
      <c r="L410" s="12" t="s">
        <v>551</v>
      </c>
      <c r="M410" s="9" t="s">
        <v>111</v>
      </c>
      <c r="N410" s="21">
        <v>731</v>
      </c>
      <c r="O410" s="22">
        <v>731</v>
      </c>
      <c r="P410" s="23">
        <f>Table2[[#This Row],[Sum of Old TB]]-Table2[[#This Row],[Sum of New TB]]</f>
        <v>0</v>
      </c>
    </row>
    <row r="411" customHeight="1" spans="2:16">
      <c r="B411" s="8" t="s">
        <v>570</v>
      </c>
      <c r="C411" s="9" t="s">
        <v>109</v>
      </c>
      <c r="D411" s="1">
        <v>2640.27</v>
      </c>
      <c r="E411" s="9"/>
      <c r="G411" s="1" t="s">
        <v>549</v>
      </c>
      <c r="H411" s="1" t="s">
        <v>107</v>
      </c>
      <c r="I411" s="2">
        <v>18072</v>
      </c>
      <c r="J411" s="2">
        <v>18072</v>
      </c>
      <c r="L411" s="12" t="s">
        <v>553</v>
      </c>
      <c r="M411" s="9" t="s">
        <v>129</v>
      </c>
      <c r="N411" s="21">
        <v>41223.58</v>
      </c>
      <c r="O411" s="22">
        <v>41223.58</v>
      </c>
      <c r="P411" s="23">
        <f>Table2[[#This Row],[Sum of Old TB]]-Table2[[#This Row],[Sum of New TB]]</f>
        <v>0</v>
      </c>
    </row>
    <row r="412" customHeight="1" spans="2:16">
      <c r="B412" s="8" t="s">
        <v>571</v>
      </c>
      <c r="C412" s="9" t="s">
        <v>111</v>
      </c>
      <c r="D412" s="1">
        <v>21654.51</v>
      </c>
      <c r="E412" s="9"/>
      <c r="G412" s="1" t="s">
        <v>550</v>
      </c>
      <c r="H412" s="1" t="s">
        <v>109</v>
      </c>
      <c r="I412" s="2">
        <v>1841.36</v>
      </c>
      <c r="J412" s="2">
        <v>1841.36</v>
      </c>
      <c r="L412" s="12" t="s">
        <v>554</v>
      </c>
      <c r="M412" s="9" t="s">
        <v>131</v>
      </c>
      <c r="N412" s="21">
        <v>276</v>
      </c>
      <c r="O412" s="22">
        <v>276</v>
      </c>
      <c r="P412" s="23">
        <f>Table2[[#This Row],[Sum of Old TB]]-Table2[[#This Row],[Sum of New TB]]</f>
        <v>0</v>
      </c>
    </row>
    <row r="413" customHeight="1" spans="2:16">
      <c r="B413" s="8" t="s">
        <v>572</v>
      </c>
      <c r="C413" s="9" t="s">
        <v>121</v>
      </c>
      <c r="D413" s="1">
        <v>356.78</v>
      </c>
      <c r="E413" s="9"/>
      <c r="G413" s="1" t="s">
        <v>551</v>
      </c>
      <c r="H413" s="1" t="s">
        <v>111</v>
      </c>
      <c r="I413" s="2">
        <v>731</v>
      </c>
      <c r="J413" s="2">
        <v>731</v>
      </c>
      <c r="L413" s="12" t="s">
        <v>555</v>
      </c>
      <c r="M413" s="9" t="s">
        <v>137</v>
      </c>
      <c r="N413" s="21">
        <v>528.94</v>
      </c>
      <c r="O413" s="22">
        <v>528.94</v>
      </c>
      <c r="P413" s="23">
        <f>Table2[[#This Row],[Sum of Old TB]]-Table2[[#This Row],[Sum of New TB]]</f>
        <v>0</v>
      </c>
    </row>
    <row r="414" customHeight="1" spans="2:16">
      <c r="B414" s="8" t="s">
        <v>573</v>
      </c>
      <c r="C414" s="9" t="s">
        <v>129</v>
      </c>
      <c r="D414" s="1">
        <v>3075.88</v>
      </c>
      <c r="E414" s="9"/>
      <c r="G414" s="1" t="s">
        <v>553</v>
      </c>
      <c r="H414" s="1" t="s">
        <v>129</v>
      </c>
      <c r="I414" s="2">
        <v>41223.58</v>
      </c>
      <c r="J414" s="2">
        <v>41223.58</v>
      </c>
      <c r="L414" s="12" t="s">
        <v>556</v>
      </c>
      <c r="M414" s="9" t="s">
        <v>147</v>
      </c>
      <c r="N414" s="21">
        <v>5696.65</v>
      </c>
      <c r="O414" s="22">
        <v>803.3</v>
      </c>
      <c r="P414" s="23">
        <f>Table2[[#This Row],[Sum of Old TB]]-Table2[[#This Row],[Sum of New TB]]</f>
        <v>4893.35</v>
      </c>
    </row>
    <row r="415" customHeight="1" spans="2:16">
      <c r="B415" s="8" t="s">
        <v>574</v>
      </c>
      <c r="C415" s="9" t="s">
        <v>143</v>
      </c>
      <c r="D415" s="1">
        <v>-225</v>
      </c>
      <c r="E415" s="9"/>
      <c r="G415" s="1" t="s">
        <v>554</v>
      </c>
      <c r="H415" s="1" t="s">
        <v>131</v>
      </c>
      <c r="I415" s="2">
        <v>276</v>
      </c>
      <c r="J415" s="2">
        <v>276</v>
      </c>
      <c r="L415" s="12" t="s">
        <v>557</v>
      </c>
      <c r="M415" s="9" t="s">
        <v>153</v>
      </c>
      <c r="N415" s="21">
        <v>3142.24</v>
      </c>
      <c r="O415" s="22">
        <v>3142.24</v>
      </c>
      <c r="P415" s="23">
        <f>Table2[[#This Row],[Sum of Old TB]]-Table2[[#This Row],[Sum of New TB]]</f>
        <v>0</v>
      </c>
    </row>
    <row r="416" customHeight="1" spans="2:16">
      <c r="B416" s="8" t="s">
        <v>575</v>
      </c>
      <c r="C416" s="9" t="s">
        <v>147</v>
      </c>
      <c r="D416" s="1">
        <v>691.37</v>
      </c>
      <c r="E416" s="9"/>
      <c r="G416" s="1" t="s">
        <v>555</v>
      </c>
      <c r="H416" s="1" t="s">
        <v>137</v>
      </c>
      <c r="I416" s="2">
        <v>528.94</v>
      </c>
      <c r="J416" s="2">
        <v>528.94</v>
      </c>
      <c r="L416" s="12" t="s">
        <v>576</v>
      </c>
      <c r="M416" s="9" t="s">
        <v>161</v>
      </c>
      <c r="N416" s="21"/>
      <c r="O416" s="22">
        <v>5800</v>
      </c>
      <c r="P416" s="23">
        <f>Table2[[#This Row],[Sum of Old TB]]-Table2[[#This Row],[Sum of New TB]]</f>
        <v>-5800</v>
      </c>
    </row>
    <row r="417" customHeight="1" spans="2:16">
      <c r="B417" s="8" t="s">
        <v>577</v>
      </c>
      <c r="C417" s="9" t="s">
        <v>153</v>
      </c>
      <c r="D417" s="1">
        <v>3188.11</v>
      </c>
      <c r="E417" s="9"/>
      <c r="G417" s="1" t="s">
        <v>556</v>
      </c>
      <c r="H417" s="1" t="s">
        <v>147</v>
      </c>
      <c r="I417" s="2">
        <v>5696.65</v>
      </c>
      <c r="J417" s="2">
        <v>803.3</v>
      </c>
      <c r="L417" s="12" t="s">
        <v>558</v>
      </c>
      <c r="M417" s="9" t="s">
        <v>165</v>
      </c>
      <c r="N417" s="21">
        <v>16987.6</v>
      </c>
      <c r="O417" s="22">
        <v>11187.6</v>
      </c>
      <c r="P417" s="23">
        <f>Table2[[#This Row],[Sum of Old TB]]-Table2[[#This Row],[Sum of New TB]]</f>
        <v>5800</v>
      </c>
    </row>
    <row r="418" customHeight="1" spans="2:16">
      <c r="B418" s="8" t="s">
        <v>578</v>
      </c>
      <c r="C418" s="9" t="s">
        <v>249</v>
      </c>
      <c r="D418" s="1">
        <v>150</v>
      </c>
      <c r="E418" s="9"/>
      <c r="G418" s="1" t="s">
        <v>557</v>
      </c>
      <c r="H418" s="1" t="s">
        <v>153</v>
      </c>
      <c r="I418" s="2">
        <v>3142.24</v>
      </c>
      <c r="J418" s="2">
        <v>3142.24</v>
      </c>
      <c r="L418" s="12" t="s">
        <v>559</v>
      </c>
      <c r="M418" s="9" t="s">
        <v>469</v>
      </c>
      <c r="N418" s="21">
        <v>1877</v>
      </c>
      <c r="O418" s="22">
        <v>1877</v>
      </c>
      <c r="P418" s="23">
        <f>Table2[[#This Row],[Sum of Old TB]]-Table2[[#This Row],[Sum of New TB]]</f>
        <v>0</v>
      </c>
    </row>
    <row r="419" customHeight="1" spans="2:16">
      <c r="B419" s="8" t="s">
        <v>579</v>
      </c>
      <c r="C419" s="9" t="s">
        <v>165</v>
      </c>
      <c r="D419" s="1">
        <v>253.24</v>
      </c>
      <c r="E419" s="9"/>
      <c r="G419" s="1" t="s">
        <v>576</v>
      </c>
      <c r="H419" s="1" t="s">
        <v>161</v>
      </c>
      <c r="J419" s="2">
        <v>5800</v>
      </c>
      <c r="L419" s="12" t="s">
        <v>560</v>
      </c>
      <c r="M419" s="9" t="s">
        <v>175</v>
      </c>
      <c r="N419" s="21">
        <v>8028.69</v>
      </c>
      <c r="O419" s="22">
        <v>8028.69</v>
      </c>
      <c r="P419" s="23">
        <f>Table2[[#This Row],[Sum of Old TB]]-Table2[[#This Row],[Sum of New TB]]</f>
        <v>0</v>
      </c>
    </row>
    <row r="420" customHeight="1" spans="2:16">
      <c r="B420" s="8" t="s">
        <v>580</v>
      </c>
      <c r="C420" s="9" t="s">
        <v>167</v>
      </c>
      <c r="D420" s="1">
        <v>41.25</v>
      </c>
      <c r="E420" s="9"/>
      <c r="G420" s="1" t="s">
        <v>558</v>
      </c>
      <c r="H420" s="1" t="s">
        <v>165</v>
      </c>
      <c r="I420" s="2">
        <v>16987.6</v>
      </c>
      <c r="J420" s="2">
        <v>11187.6</v>
      </c>
      <c r="L420" s="12" t="s">
        <v>561</v>
      </c>
      <c r="M420" s="9" t="s">
        <v>179</v>
      </c>
      <c r="N420" s="21">
        <v>599.26</v>
      </c>
      <c r="O420" s="22">
        <v>599.26</v>
      </c>
      <c r="P420" s="23">
        <f>Table2[[#This Row],[Sum of Old TB]]-Table2[[#This Row],[Sum of New TB]]</f>
        <v>0</v>
      </c>
    </row>
    <row r="421" customHeight="1" spans="2:16">
      <c r="B421" s="8" t="s">
        <v>581</v>
      </c>
      <c r="C421" s="9" t="s">
        <v>175</v>
      </c>
      <c r="D421" s="1">
        <v>2860.07</v>
      </c>
      <c r="E421" s="9"/>
      <c r="G421" s="1" t="s">
        <v>559</v>
      </c>
      <c r="H421" s="1" t="s">
        <v>469</v>
      </c>
      <c r="I421" s="2">
        <v>1877</v>
      </c>
      <c r="J421" s="2">
        <v>1877</v>
      </c>
      <c r="L421" s="12" t="s">
        <v>562</v>
      </c>
      <c r="M421" s="9" t="s">
        <v>185</v>
      </c>
      <c r="N421" s="21">
        <v>602.04</v>
      </c>
      <c r="O421" s="22">
        <v>602.04</v>
      </c>
      <c r="P421" s="23">
        <f>Table2[[#This Row],[Sum of Old TB]]-Table2[[#This Row],[Sum of New TB]]</f>
        <v>0</v>
      </c>
    </row>
    <row r="422" customHeight="1" spans="2:16">
      <c r="B422" s="8" t="s">
        <v>582</v>
      </c>
      <c r="C422" s="9" t="s">
        <v>179</v>
      </c>
      <c r="D422" s="1">
        <v>860.79</v>
      </c>
      <c r="E422" s="9"/>
      <c r="G422" s="1" t="s">
        <v>560</v>
      </c>
      <c r="H422" s="1" t="s">
        <v>175</v>
      </c>
      <c r="I422" s="2">
        <v>8028.69</v>
      </c>
      <c r="J422" s="2">
        <v>8028.69</v>
      </c>
      <c r="L422" s="12" t="s">
        <v>563</v>
      </c>
      <c r="M422" s="9" t="s">
        <v>197</v>
      </c>
      <c r="N422" s="21">
        <v>1200.09</v>
      </c>
      <c r="O422" s="22">
        <v>1200.09</v>
      </c>
      <c r="P422" s="23">
        <f>Table2[[#This Row],[Sum of Old TB]]-Table2[[#This Row],[Sum of New TB]]</f>
        <v>0</v>
      </c>
    </row>
    <row r="423" customHeight="1" spans="2:16">
      <c r="B423" s="8" t="s">
        <v>583</v>
      </c>
      <c r="C423" s="9" t="s">
        <v>200</v>
      </c>
      <c r="D423" s="1">
        <v>2742.19</v>
      </c>
      <c r="E423" s="9"/>
      <c r="G423" s="1" t="s">
        <v>561</v>
      </c>
      <c r="H423" s="1" t="s">
        <v>179</v>
      </c>
      <c r="I423" s="2">
        <v>599.26</v>
      </c>
      <c r="J423" s="2">
        <v>599.26</v>
      </c>
      <c r="L423" s="12" t="s">
        <v>564</v>
      </c>
      <c r="M423" s="9" t="s">
        <v>208</v>
      </c>
      <c r="N423" s="21">
        <v>14037.92</v>
      </c>
      <c r="O423" s="22">
        <v>14037.92</v>
      </c>
      <c r="P423" s="23">
        <f>Table2[[#This Row],[Sum of Old TB]]-Table2[[#This Row],[Sum of New TB]]</f>
        <v>0</v>
      </c>
    </row>
    <row r="424" customHeight="1" spans="2:16">
      <c r="B424" s="8" t="s">
        <v>584</v>
      </c>
      <c r="C424" s="9" t="s">
        <v>275</v>
      </c>
      <c r="D424" s="1">
        <v>11367.83</v>
      </c>
      <c r="E424" s="9"/>
      <c r="G424" s="1" t="s">
        <v>562</v>
      </c>
      <c r="H424" s="1" t="s">
        <v>185</v>
      </c>
      <c r="I424" s="2">
        <v>602.04</v>
      </c>
      <c r="J424" s="2">
        <v>602.04</v>
      </c>
      <c r="L424" s="12" t="s">
        <v>585</v>
      </c>
      <c r="M424" s="9" t="s">
        <v>218</v>
      </c>
      <c r="N424" s="21"/>
      <c r="O424" s="22">
        <v>4893.35</v>
      </c>
      <c r="P424" s="23">
        <f>Table2[[#This Row],[Sum of Old TB]]-Table2[[#This Row],[Sum of New TB]]</f>
        <v>-4893.35</v>
      </c>
    </row>
    <row r="425" customHeight="1" spans="2:16">
      <c r="B425" s="8" t="s">
        <v>586</v>
      </c>
      <c r="C425" s="9" t="s">
        <v>277</v>
      </c>
      <c r="D425" s="1">
        <v>57471.24</v>
      </c>
      <c r="E425" s="9"/>
      <c r="G425" s="1" t="s">
        <v>563</v>
      </c>
      <c r="H425" s="1" t="s">
        <v>197</v>
      </c>
      <c r="I425" s="2">
        <v>1200.09</v>
      </c>
      <c r="J425" s="2">
        <v>1200.09</v>
      </c>
      <c r="L425" s="12" t="s">
        <v>565</v>
      </c>
      <c r="M425" s="9" t="s">
        <v>377</v>
      </c>
      <c r="N425" s="21">
        <v>31495.08</v>
      </c>
      <c r="O425" s="22">
        <v>31495.08</v>
      </c>
      <c r="P425" s="23">
        <f>Table2[[#This Row],[Sum of Old TB]]-Table2[[#This Row],[Sum of New TB]]</f>
        <v>0</v>
      </c>
    </row>
    <row r="426" customHeight="1" spans="2:16">
      <c r="B426" s="8" t="s">
        <v>587</v>
      </c>
      <c r="C426" s="9" t="s">
        <v>40</v>
      </c>
      <c r="D426" s="1">
        <v>32893.74</v>
      </c>
      <c r="E426" s="9"/>
      <c r="G426" s="1" t="s">
        <v>564</v>
      </c>
      <c r="H426" s="1" t="s">
        <v>208</v>
      </c>
      <c r="I426" s="2">
        <v>14037.92</v>
      </c>
      <c r="J426" s="2">
        <v>14037.92</v>
      </c>
      <c r="L426" s="12" t="s">
        <v>566</v>
      </c>
      <c r="M426" s="9" t="s">
        <v>40</v>
      </c>
      <c r="N426" s="21">
        <v>240453.13</v>
      </c>
      <c r="O426" s="22">
        <v>240453.13</v>
      </c>
      <c r="P426" s="23">
        <f>Table2[[#This Row],[Sum of Old TB]]-Table2[[#This Row],[Sum of New TB]]</f>
        <v>0</v>
      </c>
    </row>
    <row r="427" customHeight="1" spans="2:16">
      <c r="B427" s="8" t="s">
        <v>588</v>
      </c>
      <c r="C427" s="9" t="s">
        <v>42</v>
      </c>
      <c r="D427" s="1">
        <v>-27131.7</v>
      </c>
      <c r="E427" s="9"/>
      <c r="G427" s="1" t="s">
        <v>585</v>
      </c>
      <c r="H427" s="1" t="s">
        <v>218</v>
      </c>
      <c r="J427" s="2">
        <v>4893.35</v>
      </c>
      <c r="L427" s="12" t="s">
        <v>567</v>
      </c>
      <c r="M427" s="9" t="s">
        <v>228</v>
      </c>
      <c r="N427" s="21">
        <v>-240453.13</v>
      </c>
      <c r="O427" s="22">
        <v>-240453.13</v>
      </c>
      <c r="P427" s="23">
        <f>Table2[[#This Row],[Sum of Old TB]]-Table2[[#This Row],[Sum of New TB]]</f>
        <v>0</v>
      </c>
    </row>
    <row r="428" customHeight="1" spans="2:16">
      <c r="B428" s="8" t="s">
        <v>589</v>
      </c>
      <c r="C428" s="9" t="s">
        <v>55</v>
      </c>
      <c r="D428" s="1">
        <v>49.97</v>
      </c>
      <c r="E428" s="9"/>
      <c r="G428" s="1" t="s">
        <v>565</v>
      </c>
      <c r="H428" s="1" t="s">
        <v>377</v>
      </c>
      <c r="I428" s="2">
        <v>31495.08</v>
      </c>
      <c r="J428" s="2">
        <v>31495.08</v>
      </c>
      <c r="L428" s="12" t="s">
        <v>568</v>
      </c>
      <c r="M428" s="9" t="s">
        <v>69</v>
      </c>
      <c r="N428" s="21">
        <v>-82019.39</v>
      </c>
      <c r="O428" s="22">
        <v>-82019.39</v>
      </c>
      <c r="P428" s="23">
        <f>Table2[[#This Row],[Sum of Old TB]]-Table2[[#This Row],[Sum of New TB]]</f>
        <v>0</v>
      </c>
    </row>
    <row r="429" customHeight="1" spans="2:16">
      <c r="B429" s="8" t="s">
        <v>590</v>
      </c>
      <c r="C429" s="9" t="s">
        <v>63</v>
      </c>
      <c r="D429" s="1">
        <v>-65665.95</v>
      </c>
      <c r="E429" s="9"/>
      <c r="G429" s="1" t="s">
        <v>566</v>
      </c>
      <c r="H429" s="1" t="s">
        <v>40</v>
      </c>
      <c r="I429" s="2">
        <v>240453.13</v>
      </c>
      <c r="J429" s="2">
        <v>240453.13</v>
      </c>
      <c r="L429" s="12" t="s">
        <v>569</v>
      </c>
      <c r="M429" s="9" t="s">
        <v>107</v>
      </c>
      <c r="N429" s="21">
        <v>32362.1</v>
      </c>
      <c r="O429" s="22">
        <v>32362.1</v>
      </c>
      <c r="P429" s="23">
        <f>Table2[[#This Row],[Sum of Old TB]]-Table2[[#This Row],[Sum of New TB]]</f>
        <v>0</v>
      </c>
    </row>
    <row r="430" customHeight="1" spans="2:16">
      <c r="B430" s="8" t="s">
        <v>591</v>
      </c>
      <c r="C430" s="9" t="s">
        <v>69</v>
      </c>
      <c r="D430" s="1">
        <v>-1092861.38</v>
      </c>
      <c r="E430" s="9"/>
      <c r="G430" s="1" t="s">
        <v>567</v>
      </c>
      <c r="H430" s="1" t="s">
        <v>228</v>
      </c>
      <c r="I430" s="2">
        <v>-240453.13</v>
      </c>
      <c r="J430" s="2">
        <v>-240453.13</v>
      </c>
      <c r="L430" s="12" t="s">
        <v>570</v>
      </c>
      <c r="M430" s="9" t="s">
        <v>109</v>
      </c>
      <c r="N430" s="21">
        <v>2640.27</v>
      </c>
      <c r="O430" s="22">
        <v>2640.27</v>
      </c>
      <c r="P430" s="23">
        <f>Table2[[#This Row],[Sum of Old TB]]-Table2[[#This Row],[Sum of New TB]]</f>
        <v>0</v>
      </c>
    </row>
    <row r="431" customHeight="1" spans="2:16">
      <c r="B431" s="8" t="s">
        <v>592</v>
      </c>
      <c r="C431" s="9" t="s">
        <v>97</v>
      </c>
      <c r="D431" s="1">
        <v>-80275.85</v>
      </c>
      <c r="E431" s="9"/>
      <c r="G431" s="1" t="s">
        <v>568</v>
      </c>
      <c r="H431" s="1" t="s">
        <v>69</v>
      </c>
      <c r="I431" s="2">
        <v>-82019.39</v>
      </c>
      <c r="J431" s="2">
        <v>-82019.39</v>
      </c>
      <c r="L431" s="12" t="s">
        <v>571</v>
      </c>
      <c r="M431" s="9" t="s">
        <v>111</v>
      </c>
      <c r="N431" s="21">
        <v>21654.51</v>
      </c>
      <c r="O431" s="22">
        <v>21654.51</v>
      </c>
      <c r="P431" s="23">
        <f>Table2[[#This Row],[Sum of Old TB]]-Table2[[#This Row],[Sum of New TB]]</f>
        <v>0</v>
      </c>
    </row>
    <row r="432" customHeight="1" spans="2:16">
      <c r="B432" s="8" t="s">
        <v>593</v>
      </c>
      <c r="C432" s="9" t="s">
        <v>107</v>
      </c>
      <c r="D432" s="1">
        <v>82546.44</v>
      </c>
      <c r="E432" s="9"/>
      <c r="G432" s="1" t="s">
        <v>569</v>
      </c>
      <c r="H432" s="1" t="s">
        <v>107</v>
      </c>
      <c r="I432" s="2">
        <v>32362.1</v>
      </c>
      <c r="J432" s="2">
        <v>32362.1</v>
      </c>
      <c r="L432" s="12" t="s">
        <v>572</v>
      </c>
      <c r="M432" s="9" t="s">
        <v>121</v>
      </c>
      <c r="N432" s="21">
        <v>356.78</v>
      </c>
      <c r="O432" s="22">
        <v>356.78</v>
      </c>
      <c r="P432" s="23">
        <f>Table2[[#This Row],[Sum of Old TB]]-Table2[[#This Row],[Sum of New TB]]</f>
        <v>0</v>
      </c>
    </row>
    <row r="433" customHeight="1" spans="2:16">
      <c r="B433" s="8" t="s">
        <v>594</v>
      </c>
      <c r="C433" s="9" t="s">
        <v>109</v>
      </c>
      <c r="D433" s="1">
        <v>6300.15</v>
      </c>
      <c r="E433" s="9"/>
      <c r="G433" s="1" t="s">
        <v>570</v>
      </c>
      <c r="H433" s="1" t="s">
        <v>109</v>
      </c>
      <c r="I433" s="2">
        <v>2640.27</v>
      </c>
      <c r="J433" s="2">
        <v>2640.27</v>
      </c>
      <c r="L433" s="12" t="s">
        <v>573</v>
      </c>
      <c r="M433" s="9" t="s">
        <v>129</v>
      </c>
      <c r="N433" s="21">
        <v>3075.88</v>
      </c>
      <c r="O433" s="22">
        <v>3075.88</v>
      </c>
      <c r="P433" s="23">
        <f>Table2[[#This Row],[Sum of Old TB]]-Table2[[#This Row],[Sum of New TB]]</f>
        <v>0</v>
      </c>
    </row>
    <row r="434" customHeight="1" spans="2:16">
      <c r="B434" s="8" t="s">
        <v>595</v>
      </c>
      <c r="C434" s="9" t="s">
        <v>111</v>
      </c>
      <c r="D434" s="1">
        <v>17819.7</v>
      </c>
      <c r="E434" s="9"/>
      <c r="G434" s="1" t="s">
        <v>571</v>
      </c>
      <c r="H434" s="1" t="s">
        <v>111</v>
      </c>
      <c r="I434" s="2">
        <v>21654.51</v>
      </c>
      <c r="J434" s="2">
        <v>21654.51</v>
      </c>
      <c r="L434" s="12" t="s">
        <v>574</v>
      </c>
      <c r="M434" s="9" t="s">
        <v>143</v>
      </c>
      <c r="N434" s="21">
        <v>-225</v>
      </c>
      <c r="O434" s="22">
        <v>-225</v>
      </c>
      <c r="P434" s="23">
        <f>Table2[[#This Row],[Sum of Old TB]]-Table2[[#This Row],[Sum of New TB]]</f>
        <v>0</v>
      </c>
    </row>
    <row r="435" customHeight="1" spans="2:16">
      <c r="B435" s="8" t="s">
        <v>596</v>
      </c>
      <c r="C435" s="9" t="s">
        <v>117</v>
      </c>
      <c r="D435" s="1">
        <v>61.13</v>
      </c>
      <c r="E435" s="9"/>
      <c r="G435" s="1" t="s">
        <v>572</v>
      </c>
      <c r="H435" s="1" t="s">
        <v>121</v>
      </c>
      <c r="I435" s="2">
        <v>356.78</v>
      </c>
      <c r="J435" s="2">
        <v>356.78</v>
      </c>
      <c r="L435" s="12" t="s">
        <v>575</v>
      </c>
      <c r="M435" s="9" t="s">
        <v>147</v>
      </c>
      <c r="N435" s="21">
        <v>691.37</v>
      </c>
      <c r="O435" s="22">
        <v>691.37</v>
      </c>
      <c r="P435" s="23">
        <f>Table2[[#This Row],[Sum of Old TB]]-Table2[[#This Row],[Sum of New TB]]</f>
        <v>0</v>
      </c>
    </row>
    <row r="436" customHeight="1" spans="2:16">
      <c r="B436" s="8" t="s">
        <v>597</v>
      </c>
      <c r="C436" s="9" t="s">
        <v>125</v>
      </c>
      <c r="D436" s="1">
        <v>95</v>
      </c>
      <c r="E436" s="9"/>
      <c r="G436" s="1" t="s">
        <v>573</v>
      </c>
      <c r="H436" s="1" t="s">
        <v>129</v>
      </c>
      <c r="I436" s="2">
        <v>3075.88</v>
      </c>
      <c r="J436" s="2">
        <v>3075.88</v>
      </c>
      <c r="L436" s="12" t="s">
        <v>577</v>
      </c>
      <c r="M436" s="9" t="s">
        <v>153</v>
      </c>
      <c r="N436" s="21">
        <v>3188.11</v>
      </c>
      <c r="O436" s="22">
        <v>3188.11</v>
      </c>
      <c r="P436" s="23">
        <f>Table2[[#This Row],[Sum of Old TB]]-Table2[[#This Row],[Sum of New TB]]</f>
        <v>0</v>
      </c>
    </row>
    <row r="437" customHeight="1" spans="2:16">
      <c r="B437" s="8" t="s">
        <v>598</v>
      </c>
      <c r="C437" s="9" t="s">
        <v>129</v>
      </c>
      <c r="D437" s="1">
        <v>12102.03</v>
      </c>
      <c r="E437" s="9"/>
      <c r="G437" s="1" t="s">
        <v>574</v>
      </c>
      <c r="H437" s="1" t="s">
        <v>143</v>
      </c>
      <c r="I437" s="2">
        <v>-225</v>
      </c>
      <c r="J437" s="2">
        <v>-225</v>
      </c>
      <c r="L437" s="12" t="s">
        <v>578</v>
      </c>
      <c r="M437" s="9" t="s">
        <v>249</v>
      </c>
      <c r="N437" s="21">
        <v>150</v>
      </c>
      <c r="O437" s="22">
        <v>150</v>
      </c>
      <c r="P437" s="23">
        <f>Table2[[#This Row],[Sum of Old TB]]-Table2[[#This Row],[Sum of New TB]]</f>
        <v>0</v>
      </c>
    </row>
    <row r="438" customHeight="1" spans="2:16">
      <c r="B438" s="8" t="s">
        <v>599</v>
      </c>
      <c r="C438" s="9" t="s">
        <v>309</v>
      </c>
      <c r="D438" s="1">
        <v>250.24</v>
      </c>
      <c r="E438" s="9"/>
      <c r="G438" s="1" t="s">
        <v>575</v>
      </c>
      <c r="H438" s="1" t="s">
        <v>147</v>
      </c>
      <c r="I438" s="2">
        <v>691.37</v>
      </c>
      <c r="J438" s="2">
        <v>691.37</v>
      </c>
      <c r="L438" s="12" t="s">
        <v>579</v>
      </c>
      <c r="M438" s="9" t="s">
        <v>165</v>
      </c>
      <c r="N438" s="21">
        <v>253.24</v>
      </c>
      <c r="O438" s="22">
        <v>253.24</v>
      </c>
      <c r="P438" s="23">
        <f>Table2[[#This Row],[Sum of Old TB]]-Table2[[#This Row],[Sum of New TB]]</f>
        <v>0</v>
      </c>
    </row>
    <row r="439" customHeight="1" spans="2:16">
      <c r="B439" s="8" t="s">
        <v>600</v>
      </c>
      <c r="C439" s="9" t="s">
        <v>458</v>
      </c>
      <c r="D439" s="1">
        <v>6385.68</v>
      </c>
      <c r="E439" s="9"/>
      <c r="G439" s="1" t="s">
        <v>577</v>
      </c>
      <c r="H439" s="1" t="s">
        <v>153</v>
      </c>
      <c r="I439" s="2">
        <v>3188.11</v>
      </c>
      <c r="J439" s="2">
        <v>3188.11</v>
      </c>
      <c r="L439" s="12" t="s">
        <v>580</v>
      </c>
      <c r="M439" s="9" t="s">
        <v>167</v>
      </c>
      <c r="N439" s="21">
        <v>41.25</v>
      </c>
      <c r="O439" s="22">
        <v>41.25</v>
      </c>
      <c r="P439" s="23">
        <f>Table2[[#This Row],[Sum of Old TB]]-Table2[[#This Row],[Sum of New TB]]</f>
        <v>0</v>
      </c>
    </row>
    <row r="440" customHeight="1" spans="2:16">
      <c r="B440" s="8" t="s">
        <v>601</v>
      </c>
      <c r="C440" s="9" t="s">
        <v>131</v>
      </c>
      <c r="D440" s="1">
        <v>753.33</v>
      </c>
      <c r="E440" s="9"/>
      <c r="G440" s="1" t="s">
        <v>578</v>
      </c>
      <c r="H440" s="1" t="s">
        <v>249</v>
      </c>
      <c r="I440" s="2">
        <v>150</v>
      </c>
      <c r="J440" s="2">
        <v>150</v>
      </c>
      <c r="L440" s="12" t="s">
        <v>581</v>
      </c>
      <c r="M440" s="9" t="s">
        <v>175</v>
      </c>
      <c r="N440" s="21">
        <v>2860.07</v>
      </c>
      <c r="O440" s="22">
        <v>2860.07</v>
      </c>
      <c r="P440" s="23">
        <f>Table2[[#This Row],[Sum of Old TB]]-Table2[[#This Row],[Sum of New TB]]</f>
        <v>0</v>
      </c>
    </row>
    <row r="441" customHeight="1" spans="2:16">
      <c r="B441" s="8" t="s">
        <v>602</v>
      </c>
      <c r="C441" s="9" t="s">
        <v>143</v>
      </c>
      <c r="D441" s="1">
        <v>49917.3</v>
      </c>
      <c r="E441" s="9"/>
      <c r="G441" s="1" t="s">
        <v>579</v>
      </c>
      <c r="H441" s="1" t="s">
        <v>165</v>
      </c>
      <c r="I441" s="2">
        <v>253.24</v>
      </c>
      <c r="J441" s="2">
        <v>253.24</v>
      </c>
      <c r="L441" s="12" t="s">
        <v>582</v>
      </c>
      <c r="M441" s="9" t="s">
        <v>179</v>
      </c>
      <c r="N441" s="21">
        <v>860.79</v>
      </c>
      <c r="O441" s="22">
        <v>860.79</v>
      </c>
      <c r="P441" s="23">
        <f>Table2[[#This Row],[Sum of Old TB]]-Table2[[#This Row],[Sum of New TB]]</f>
        <v>0</v>
      </c>
    </row>
    <row r="442" customHeight="1" spans="2:16">
      <c r="B442" s="8" t="s">
        <v>603</v>
      </c>
      <c r="C442" s="9" t="s">
        <v>147</v>
      </c>
      <c r="D442" s="1">
        <v>28962.17</v>
      </c>
      <c r="E442" s="9"/>
      <c r="G442" s="1" t="s">
        <v>580</v>
      </c>
      <c r="H442" s="1" t="s">
        <v>167</v>
      </c>
      <c r="I442" s="2">
        <v>41.25</v>
      </c>
      <c r="J442" s="2">
        <v>41.25</v>
      </c>
      <c r="L442" s="12" t="s">
        <v>583</v>
      </c>
      <c r="M442" s="9" t="s">
        <v>200</v>
      </c>
      <c r="N442" s="21">
        <v>2742.19</v>
      </c>
      <c r="O442" s="22">
        <v>2742.19</v>
      </c>
      <c r="P442" s="23">
        <f>Table2[[#This Row],[Sum of Old TB]]-Table2[[#This Row],[Sum of New TB]]</f>
        <v>0</v>
      </c>
    </row>
    <row r="443" customHeight="1" spans="2:16">
      <c r="B443" s="8" t="s">
        <v>604</v>
      </c>
      <c r="C443" s="9" t="s">
        <v>151</v>
      </c>
      <c r="D443" s="1">
        <v>34.24</v>
      </c>
      <c r="E443" s="9"/>
      <c r="G443" s="1" t="s">
        <v>581</v>
      </c>
      <c r="H443" s="1" t="s">
        <v>175</v>
      </c>
      <c r="I443" s="2">
        <v>2860.07</v>
      </c>
      <c r="J443" s="2">
        <v>2860.07</v>
      </c>
      <c r="L443" s="12" t="s">
        <v>584</v>
      </c>
      <c r="M443" s="9" t="s">
        <v>275</v>
      </c>
      <c r="N443" s="21">
        <v>11367.83</v>
      </c>
      <c r="O443" s="22">
        <v>11367.83</v>
      </c>
      <c r="P443" s="23">
        <f>Table2[[#This Row],[Sum of Old TB]]-Table2[[#This Row],[Sum of New TB]]</f>
        <v>0</v>
      </c>
    </row>
    <row r="444" customHeight="1" spans="2:16">
      <c r="B444" s="8" t="s">
        <v>605</v>
      </c>
      <c r="C444" s="9" t="s">
        <v>153</v>
      </c>
      <c r="D444" s="1">
        <v>16495.16</v>
      </c>
      <c r="E444" s="9"/>
      <c r="G444" s="1" t="s">
        <v>582</v>
      </c>
      <c r="H444" s="1" t="s">
        <v>179</v>
      </c>
      <c r="I444" s="2">
        <v>860.79</v>
      </c>
      <c r="J444" s="2">
        <v>860.79</v>
      </c>
      <c r="L444" s="12" t="s">
        <v>586</v>
      </c>
      <c r="M444" s="9" t="s">
        <v>277</v>
      </c>
      <c r="N444" s="21">
        <v>57471.24</v>
      </c>
      <c r="O444" s="22">
        <v>57471.24</v>
      </c>
      <c r="P444" s="23">
        <f>Table2[[#This Row],[Sum of Old TB]]-Table2[[#This Row],[Sum of New TB]]</f>
        <v>0</v>
      </c>
    </row>
    <row r="445" customHeight="1" spans="2:16">
      <c r="B445" s="8" t="s">
        <v>606</v>
      </c>
      <c r="C445" s="9" t="s">
        <v>165</v>
      </c>
      <c r="D445" s="1">
        <v>166587.69</v>
      </c>
      <c r="E445" s="9"/>
      <c r="G445" s="1" t="s">
        <v>583</v>
      </c>
      <c r="H445" s="1" t="s">
        <v>200</v>
      </c>
      <c r="I445" s="2">
        <v>2742.19</v>
      </c>
      <c r="J445" s="2">
        <v>2742.19</v>
      </c>
      <c r="L445" s="12" t="s">
        <v>587</v>
      </c>
      <c r="M445" s="9" t="s">
        <v>40</v>
      </c>
      <c r="N445" s="21">
        <v>32893.74</v>
      </c>
      <c r="O445" s="22">
        <v>32893.74</v>
      </c>
      <c r="P445" s="23">
        <f>Table2[[#This Row],[Sum of Old TB]]-Table2[[#This Row],[Sum of New TB]]</f>
        <v>0</v>
      </c>
    </row>
    <row r="446" customHeight="1" spans="2:16">
      <c r="B446" s="8" t="s">
        <v>607</v>
      </c>
      <c r="C446" s="9" t="s">
        <v>175</v>
      </c>
      <c r="D446" s="1">
        <v>3866.8</v>
      </c>
      <c r="E446" s="9"/>
      <c r="G446" s="1" t="s">
        <v>584</v>
      </c>
      <c r="H446" s="1" t="s">
        <v>275</v>
      </c>
      <c r="I446" s="2">
        <v>11367.83</v>
      </c>
      <c r="J446" s="2">
        <v>11367.83</v>
      </c>
      <c r="L446" s="12" t="s">
        <v>588</v>
      </c>
      <c r="M446" s="9" t="s">
        <v>42</v>
      </c>
      <c r="N446" s="21">
        <v>-27131.7</v>
      </c>
      <c r="O446" s="22">
        <v>-27131.7</v>
      </c>
      <c r="P446" s="23">
        <f>Table2[[#This Row],[Sum of Old TB]]-Table2[[#This Row],[Sum of New TB]]</f>
        <v>0</v>
      </c>
    </row>
    <row r="447" customHeight="1" spans="2:16">
      <c r="B447" s="8" t="s">
        <v>608</v>
      </c>
      <c r="C447" s="9" t="s">
        <v>260</v>
      </c>
      <c r="D447" s="1">
        <v>8587.32</v>
      </c>
      <c r="E447" s="9"/>
      <c r="G447" s="1" t="s">
        <v>586</v>
      </c>
      <c r="H447" s="1" t="s">
        <v>277</v>
      </c>
      <c r="I447" s="2">
        <v>57471.24</v>
      </c>
      <c r="J447" s="2">
        <v>57471.24</v>
      </c>
      <c r="L447" s="12" t="s">
        <v>589</v>
      </c>
      <c r="M447" s="9" t="s">
        <v>55</v>
      </c>
      <c r="N447" s="21">
        <v>49.97</v>
      </c>
      <c r="O447" s="22">
        <v>49.97</v>
      </c>
      <c r="P447" s="23">
        <f>Table2[[#This Row],[Sum of Old TB]]-Table2[[#This Row],[Sum of New TB]]</f>
        <v>0</v>
      </c>
    </row>
    <row r="448" customHeight="1" spans="2:16">
      <c r="B448" s="8" t="s">
        <v>609</v>
      </c>
      <c r="C448" s="9" t="s">
        <v>179</v>
      </c>
      <c r="D448" s="1">
        <v>84.5</v>
      </c>
      <c r="E448" s="9"/>
      <c r="G448" s="1" t="s">
        <v>587</v>
      </c>
      <c r="H448" s="1" t="s">
        <v>40</v>
      </c>
      <c r="I448" s="2">
        <v>32893.74</v>
      </c>
      <c r="J448" s="2">
        <v>32893.74</v>
      </c>
      <c r="L448" s="12" t="s">
        <v>590</v>
      </c>
      <c r="M448" s="9" t="s">
        <v>63</v>
      </c>
      <c r="N448" s="21">
        <v>-65665.95</v>
      </c>
      <c r="O448" s="22">
        <v>-65665.95</v>
      </c>
      <c r="P448" s="23">
        <f>Table2[[#This Row],[Sum of Old TB]]-Table2[[#This Row],[Sum of New TB]]</f>
        <v>0</v>
      </c>
    </row>
    <row r="449" customHeight="1" spans="2:16">
      <c r="B449" s="8" t="s">
        <v>610</v>
      </c>
      <c r="C449" s="9" t="s">
        <v>197</v>
      </c>
      <c r="D449" s="1">
        <v>3717.02</v>
      </c>
      <c r="E449" s="9"/>
      <c r="G449" s="1" t="s">
        <v>588</v>
      </c>
      <c r="H449" s="1" t="s">
        <v>42</v>
      </c>
      <c r="I449" s="2">
        <v>-27131.7</v>
      </c>
      <c r="J449" s="2">
        <v>-27131.7</v>
      </c>
      <c r="L449" s="12" t="s">
        <v>591</v>
      </c>
      <c r="M449" s="9" t="s">
        <v>69</v>
      </c>
      <c r="N449" s="21">
        <v>-1092861.38</v>
      </c>
      <c r="O449" s="22">
        <v>-1092861.38</v>
      </c>
      <c r="P449" s="23">
        <f>Table2[[#This Row],[Sum of Old TB]]-Table2[[#This Row],[Sum of New TB]]</f>
        <v>0</v>
      </c>
    </row>
    <row r="450" customHeight="1" spans="2:16">
      <c r="B450" s="8" t="s">
        <v>611</v>
      </c>
      <c r="C450" s="9" t="s">
        <v>612</v>
      </c>
      <c r="D450" s="1">
        <v>762750.57</v>
      </c>
      <c r="E450" s="9"/>
      <c r="G450" s="1" t="s">
        <v>589</v>
      </c>
      <c r="H450" s="1" t="s">
        <v>55</v>
      </c>
      <c r="I450" s="2">
        <v>49.97</v>
      </c>
      <c r="J450" s="2">
        <v>49.97</v>
      </c>
      <c r="L450" s="12" t="s">
        <v>592</v>
      </c>
      <c r="M450" s="9" t="s">
        <v>97</v>
      </c>
      <c r="N450" s="21">
        <v>-80275.85</v>
      </c>
      <c r="O450" s="22">
        <v>-80275.85</v>
      </c>
      <c r="P450" s="23">
        <f>Table2[[#This Row],[Sum of Old TB]]-Table2[[#This Row],[Sum of New TB]]</f>
        <v>0</v>
      </c>
    </row>
    <row r="451" customHeight="1" spans="2:16">
      <c r="B451" s="8" t="s">
        <v>613</v>
      </c>
      <c r="C451" s="9" t="s">
        <v>275</v>
      </c>
      <c r="D451" s="1">
        <v>8203.46</v>
      </c>
      <c r="E451" s="9"/>
      <c r="G451" s="1" t="s">
        <v>590</v>
      </c>
      <c r="H451" s="1" t="s">
        <v>63</v>
      </c>
      <c r="I451" s="2">
        <v>-65665.95</v>
      </c>
      <c r="J451" s="2">
        <v>-65665.95</v>
      </c>
      <c r="L451" s="12" t="s">
        <v>593</v>
      </c>
      <c r="M451" s="9" t="s">
        <v>107</v>
      </c>
      <c r="N451" s="21">
        <v>82546.44</v>
      </c>
      <c r="O451" s="22">
        <v>82546.44</v>
      </c>
      <c r="P451" s="23">
        <f>Table2[[#This Row],[Sum of Old TB]]-Table2[[#This Row],[Sum of New TB]]</f>
        <v>0</v>
      </c>
    </row>
    <row r="452" customHeight="1" spans="2:16">
      <c r="B452" s="8" t="s">
        <v>614</v>
      </c>
      <c r="C452" s="9" t="s">
        <v>277</v>
      </c>
      <c r="D452" s="1">
        <v>80716.91</v>
      </c>
      <c r="E452" s="9"/>
      <c r="G452" s="1" t="s">
        <v>591</v>
      </c>
      <c r="H452" s="1" t="s">
        <v>69</v>
      </c>
      <c r="I452" s="2">
        <v>-1092861.38</v>
      </c>
      <c r="J452" s="2">
        <v>-1092861.38</v>
      </c>
      <c r="L452" s="12" t="s">
        <v>594</v>
      </c>
      <c r="M452" s="9" t="s">
        <v>109</v>
      </c>
      <c r="N452" s="21">
        <v>6300.15</v>
      </c>
      <c r="O452" s="22">
        <v>6300.15</v>
      </c>
      <c r="P452" s="23">
        <f>Table2[[#This Row],[Sum of Old TB]]-Table2[[#This Row],[Sum of New TB]]</f>
        <v>0</v>
      </c>
    </row>
    <row r="453" customHeight="1" spans="2:16">
      <c r="B453" s="8" t="s">
        <v>615</v>
      </c>
      <c r="C453" s="9" t="s">
        <v>40</v>
      </c>
      <c r="D453" s="1">
        <v>-76347.49</v>
      </c>
      <c r="E453" s="9"/>
      <c r="G453" s="1" t="s">
        <v>592</v>
      </c>
      <c r="H453" s="1" t="s">
        <v>97</v>
      </c>
      <c r="I453" s="2">
        <v>-80275.85</v>
      </c>
      <c r="J453" s="2">
        <v>-80275.85</v>
      </c>
      <c r="L453" s="12" t="s">
        <v>595</v>
      </c>
      <c r="M453" s="9" t="s">
        <v>111</v>
      </c>
      <c r="N453" s="21">
        <v>17819.7</v>
      </c>
      <c r="O453" s="22">
        <v>17819.7</v>
      </c>
      <c r="P453" s="23">
        <f>Table2[[#This Row],[Sum of Old TB]]-Table2[[#This Row],[Sum of New TB]]</f>
        <v>0</v>
      </c>
    </row>
    <row r="454" customHeight="1" spans="2:16">
      <c r="B454" s="8" t="s">
        <v>616</v>
      </c>
      <c r="C454" s="9" t="s">
        <v>42</v>
      </c>
      <c r="D454" s="1">
        <v>-4369.42</v>
      </c>
      <c r="E454" s="9"/>
      <c r="G454" s="1" t="s">
        <v>593</v>
      </c>
      <c r="H454" s="1" t="s">
        <v>107</v>
      </c>
      <c r="I454" s="2">
        <v>82546.44</v>
      </c>
      <c r="J454" s="2">
        <v>82546.44</v>
      </c>
      <c r="L454" s="12" t="s">
        <v>596</v>
      </c>
      <c r="M454" s="9" t="s">
        <v>117</v>
      </c>
      <c r="N454" s="21">
        <v>61.13</v>
      </c>
      <c r="O454" s="22">
        <v>61.13</v>
      </c>
      <c r="P454" s="23">
        <f>Table2[[#This Row],[Sum of Old TB]]-Table2[[#This Row],[Sum of New TB]]</f>
        <v>0</v>
      </c>
    </row>
    <row r="455" customHeight="1" spans="2:16">
      <c r="B455" s="8" t="s">
        <v>617</v>
      </c>
      <c r="C455" s="9" t="s">
        <v>69</v>
      </c>
      <c r="D455" s="1">
        <v>-705851.16</v>
      </c>
      <c r="E455" s="9"/>
      <c r="G455" s="1" t="s">
        <v>594</v>
      </c>
      <c r="H455" s="1" t="s">
        <v>109</v>
      </c>
      <c r="I455" s="2">
        <v>6300.15</v>
      </c>
      <c r="J455" s="2">
        <v>6300.15</v>
      </c>
      <c r="L455" s="12" t="s">
        <v>597</v>
      </c>
      <c r="M455" s="9" t="s">
        <v>125</v>
      </c>
      <c r="N455" s="21">
        <v>95</v>
      </c>
      <c r="O455" s="22">
        <v>95</v>
      </c>
      <c r="P455" s="23">
        <f>Table2[[#This Row],[Sum of Old TB]]-Table2[[#This Row],[Sum of New TB]]</f>
        <v>0</v>
      </c>
    </row>
    <row r="456" customHeight="1" spans="2:16">
      <c r="B456" s="8" t="s">
        <v>618</v>
      </c>
      <c r="C456" s="9" t="s">
        <v>107</v>
      </c>
      <c r="D456" s="1">
        <v>251031.88</v>
      </c>
      <c r="E456" s="9"/>
      <c r="G456" s="1" t="s">
        <v>595</v>
      </c>
      <c r="H456" s="1" t="s">
        <v>111</v>
      </c>
      <c r="I456" s="2">
        <v>17819.7</v>
      </c>
      <c r="J456" s="2">
        <v>17819.7</v>
      </c>
      <c r="L456" s="12" t="s">
        <v>598</v>
      </c>
      <c r="M456" s="9" t="s">
        <v>129</v>
      </c>
      <c r="N456" s="21">
        <v>12102.03</v>
      </c>
      <c r="O456" s="22">
        <v>12102.03</v>
      </c>
      <c r="P456" s="23">
        <f>Table2[[#This Row],[Sum of Old TB]]-Table2[[#This Row],[Sum of New TB]]</f>
        <v>0</v>
      </c>
    </row>
    <row r="457" customHeight="1" spans="2:16">
      <c r="B457" s="8" t="s">
        <v>619</v>
      </c>
      <c r="C457" s="9" t="s">
        <v>109</v>
      </c>
      <c r="D457" s="1">
        <v>22380.95</v>
      </c>
      <c r="E457" s="9"/>
      <c r="G457" s="1" t="s">
        <v>596</v>
      </c>
      <c r="H457" s="1" t="s">
        <v>117</v>
      </c>
      <c r="I457" s="2">
        <v>61.13</v>
      </c>
      <c r="J457" s="2">
        <v>61.13</v>
      </c>
      <c r="L457" s="12" t="s">
        <v>599</v>
      </c>
      <c r="M457" s="9" t="s">
        <v>309</v>
      </c>
      <c r="N457" s="21">
        <v>250.24</v>
      </c>
      <c r="O457" s="22">
        <v>250.24</v>
      </c>
      <c r="P457" s="23">
        <f>Table2[[#This Row],[Sum of Old TB]]-Table2[[#This Row],[Sum of New TB]]</f>
        <v>0</v>
      </c>
    </row>
    <row r="458" customHeight="1" spans="2:16">
      <c r="B458" s="8" t="s">
        <v>620</v>
      </c>
      <c r="C458" s="9" t="s">
        <v>111</v>
      </c>
      <c r="D458" s="1">
        <v>39871.49</v>
      </c>
      <c r="E458" s="9"/>
      <c r="G458" s="1" t="s">
        <v>597</v>
      </c>
      <c r="H458" s="1" t="s">
        <v>125</v>
      </c>
      <c r="I458" s="2">
        <v>95</v>
      </c>
      <c r="J458" s="2">
        <v>95</v>
      </c>
      <c r="L458" s="12" t="s">
        <v>600</v>
      </c>
      <c r="M458" s="9" t="s">
        <v>458</v>
      </c>
      <c r="N458" s="21">
        <v>6385.68</v>
      </c>
      <c r="O458" s="22">
        <v>6385.68</v>
      </c>
      <c r="P458" s="23">
        <f>Table2[[#This Row],[Sum of Old TB]]-Table2[[#This Row],[Sum of New TB]]</f>
        <v>0</v>
      </c>
    </row>
    <row r="459" customHeight="1" spans="2:16">
      <c r="B459" s="8" t="s">
        <v>621</v>
      </c>
      <c r="C459" s="9" t="s">
        <v>117</v>
      </c>
      <c r="D459" s="1">
        <v>4150</v>
      </c>
      <c r="E459" s="9"/>
      <c r="G459" s="1" t="s">
        <v>598</v>
      </c>
      <c r="H459" s="1" t="s">
        <v>129</v>
      </c>
      <c r="I459" s="2">
        <v>12102.03</v>
      </c>
      <c r="J459" s="2">
        <v>12102.03</v>
      </c>
      <c r="L459" s="12" t="s">
        <v>601</v>
      </c>
      <c r="M459" s="9" t="s">
        <v>131</v>
      </c>
      <c r="N459" s="21">
        <v>753.33</v>
      </c>
      <c r="O459" s="22">
        <v>753.33</v>
      </c>
      <c r="P459" s="23">
        <f>Table2[[#This Row],[Sum of Old TB]]-Table2[[#This Row],[Sum of New TB]]</f>
        <v>0</v>
      </c>
    </row>
    <row r="460" customHeight="1" spans="2:16">
      <c r="B460" s="8" t="s">
        <v>622</v>
      </c>
      <c r="C460" s="9" t="s">
        <v>121</v>
      </c>
      <c r="D460" s="1">
        <v>1798.5</v>
      </c>
      <c r="E460" s="9"/>
      <c r="G460" s="1" t="s">
        <v>599</v>
      </c>
      <c r="H460" s="1" t="s">
        <v>309</v>
      </c>
      <c r="I460" s="2">
        <v>250.24</v>
      </c>
      <c r="J460" s="2">
        <v>250.24</v>
      </c>
      <c r="L460" s="12" t="s">
        <v>602</v>
      </c>
      <c r="M460" s="9" t="s">
        <v>143</v>
      </c>
      <c r="N460" s="21">
        <v>49917.3</v>
      </c>
      <c r="O460" s="22">
        <v>8239.3</v>
      </c>
      <c r="P460" s="23">
        <f>Table2[[#This Row],[Sum of Old TB]]-Table2[[#This Row],[Sum of New TB]]</f>
        <v>41678</v>
      </c>
    </row>
    <row r="461" customHeight="1" spans="2:16">
      <c r="B461" s="8" t="s">
        <v>623</v>
      </c>
      <c r="C461" s="9" t="s">
        <v>125</v>
      </c>
      <c r="D461" s="1">
        <v>7.43</v>
      </c>
      <c r="E461" s="9"/>
      <c r="G461" s="1" t="s">
        <v>600</v>
      </c>
      <c r="H461" s="1" t="s">
        <v>458</v>
      </c>
      <c r="I461" s="2">
        <v>6385.68</v>
      </c>
      <c r="J461" s="2">
        <v>6385.68</v>
      </c>
      <c r="L461" s="12" t="s">
        <v>603</v>
      </c>
      <c r="M461" s="9" t="s">
        <v>147</v>
      </c>
      <c r="N461" s="21">
        <v>28962.17</v>
      </c>
      <c r="O461" s="22">
        <v>28962.17</v>
      </c>
      <c r="P461" s="23">
        <f>Table2[[#This Row],[Sum of Old TB]]-Table2[[#This Row],[Sum of New TB]]</f>
        <v>0</v>
      </c>
    </row>
    <row r="462" customHeight="1" spans="2:16">
      <c r="B462" s="8" t="s">
        <v>624</v>
      </c>
      <c r="C462" s="9" t="s">
        <v>129</v>
      </c>
      <c r="D462" s="1">
        <v>5769.04</v>
      </c>
      <c r="E462" s="9"/>
      <c r="G462" s="1" t="s">
        <v>601</v>
      </c>
      <c r="H462" s="1" t="s">
        <v>131</v>
      </c>
      <c r="I462" s="2">
        <v>753.33</v>
      </c>
      <c r="J462" s="2">
        <v>753.33</v>
      </c>
      <c r="L462" s="12" t="s">
        <v>604</v>
      </c>
      <c r="M462" s="9" t="s">
        <v>151</v>
      </c>
      <c r="N462" s="21">
        <v>34.24</v>
      </c>
      <c r="O462" s="22">
        <v>34.24</v>
      </c>
      <c r="P462" s="23">
        <f>Table2[[#This Row],[Sum of Old TB]]-Table2[[#This Row],[Sum of New TB]]</f>
        <v>0</v>
      </c>
    </row>
    <row r="463" customHeight="1" spans="2:16">
      <c r="B463" s="8" t="s">
        <v>625</v>
      </c>
      <c r="C463" s="9" t="s">
        <v>131</v>
      </c>
      <c r="D463" s="1">
        <v>2484</v>
      </c>
      <c r="E463" s="9"/>
      <c r="G463" s="1" t="s">
        <v>602</v>
      </c>
      <c r="H463" s="1" t="s">
        <v>143</v>
      </c>
      <c r="I463" s="2">
        <v>49917.3</v>
      </c>
      <c r="J463" s="2">
        <v>8239.3</v>
      </c>
      <c r="L463" s="12" t="s">
        <v>605</v>
      </c>
      <c r="M463" s="9" t="s">
        <v>153</v>
      </c>
      <c r="N463" s="21">
        <v>16495.16</v>
      </c>
      <c r="O463" s="22">
        <v>16495.16</v>
      </c>
      <c r="P463" s="23">
        <f>Table2[[#This Row],[Sum of Old TB]]-Table2[[#This Row],[Sum of New TB]]</f>
        <v>0</v>
      </c>
    </row>
    <row r="464" customHeight="1" spans="2:16">
      <c r="B464" s="8" t="s">
        <v>626</v>
      </c>
      <c r="C464" s="9" t="s">
        <v>133</v>
      </c>
      <c r="D464" s="1">
        <v>1511.69</v>
      </c>
      <c r="E464" s="9"/>
      <c r="G464" s="1" t="s">
        <v>603</v>
      </c>
      <c r="H464" s="1" t="s">
        <v>147</v>
      </c>
      <c r="I464" s="2">
        <v>28962.17</v>
      </c>
      <c r="J464" s="2">
        <v>28962.17</v>
      </c>
      <c r="L464" s="12" t="s">
        <v>627</v>
      </c>
      <c r="M464" s="9" t="s">
        <v>161</v>
      </c>
      <c r="N464" s="21"/>
      <c r="O464" s="22">
        <v>8014.5</v>
      </c>
      <c r="P464" s="23">
        <f>Table2[[#This Row],[Sum of Old TB]]-Table2[[#This Row],[Sum of New TB]]</f>
        <v>-8014.5</v>
      </c>
    </row>
    <row r="465" customHeight="1" spans="2:16">
      <c r="B465" s="8" t="s">
        <v>628</v>
      </c>
      <c r="C465" s="9" t="s">
        <v>143</v>
      </c>
      <c r="D465" s="1">
        <v>5103.01</v>
      </c>
      <c r="E465" s="9"/>
      <c r="G465" s="1" t="s">
        <v>604</v>
      </c>
      <c r="H465" s="1" t="s">
        <v>151</v>
      </c>
      <c r="I465" s="2">
        <v>34.24</v>
      </c>
      <c r="J465" s="2">
        <v>34.24</v>
      </c>
      <c r="L465" s="12" t="s">
        <v>606</v>
      </c>
      <c r="M465" s="9" t="s">
        <v>165</v>
      </c>
      <c r="N465" s="21">
        <v>166587.69</v>
      </c>
      <c r="O465" s="22">
        <v>130593.19</v>
      </c>
      <c r="P465" s="23">
        <f>Table2[[#This Row],[Sum of Old TB]]-Table2[[#This Row],[Sum of New TB]]</f>
        <v>35994.5</v>
      </c>
    </row>
    <row r="466" customHeight="1" spans="2:16">
      <c r="B466" s="8" t="s">
        <v>629</v>
      </c>
      <c r="C466" s="9" t="s">
        <v>145</v>
      </c>
      <c r="D466" s="1">
        <v>33976.24</v>
      </c>
      <c r="E466" s="9"/>
      <c r="G466" s="1" t="s">
        <v>605</v>
      </c>
      <c r="H466" s="1" t="s">
        <v>153</v>
      </c>
      <c r="I466" s="2">
        <v>16495.16</v>
      </c>
      <c r="J466" s="2">
        <v>16495.16</v>
      </c>
      <c r="L466" s="12" t="s">
        <v>607</v>
      </c>
      <c r="M466" s="9" t="s">
        <v>175</v>
      </c>
      <c r="N466" s="21">
        <v>3866.8</v>
      </c>
      <c r="O466" s="22">
        <v>3866.8</v>
      </c>
      <c r="P466" s="23">
        <f>Table2[[#This Row],[Sum of Old TB]]-Table2[[#This Row],[Sum of New TB]]</f>
        <v>0</v>
      </c>
    </row>
    <row r="467" customHeight="1" spans="2:16">
      <c r="B467" s="8" t="s">
        <v>630</v>
      </c>
      <c r="C467" s="9" t="s">
        <v>147</v>
      </c>
      <c r="D467" s="1">
        <v>7668.37</v>
      </c>
      <c r="E467" s="9"/>
      <c r="G467" s="1" t="s">
        <v>627</v>
      </c>
      <c r="H467" s="1" t="s">
        <v>161</v>
      </c>
      <c r="J467" s="2">
        <v>8014.5</v>
      </c>
      <c r="L467" s="12" t="s">
        <v>608</v>
      </c>
      <c r="M467" s="9" t="s">
        <v>260</v>
      </c>
      <c r="N467" s="21">
        <v>8587.32</v>
      </c>
      <c r="O467" s="22"/>
      <c r="P467" s="23">
        <f>Table2[[#This Row],[Sum of Old TB]]-Table2[[#This Row],[Sum of New TB]]</f>
        <v>8587.32</v>
      </c>
    </row>
    <row r="468" customHeight="1" spans="2:16">
      <c r="B468" s="8" t="s">
        <v>631</v>
      </c>
      <c r="C468" s="9" t="s">
        <v>149</v>
      </c>
      <c r="D468" s="1">
        <v>5250.51</v>
      </c>
      <c r="E468" s="9"/>
      <c r="G468" s="1" t="s">
        <v>606</v>
      </c>
      <c r="H468" s="1" t="s">
        <v>165</v>
      </c>
      <c r="I468" s="2">
        <v>166587.69</v>
      </c>
      <c r="J468" s="2">
        <v>130593.19</v>
      </c>
      <c r="L468" s="12" t="s">
        <v>609</v>
      </c>
      <c r="M468" s="9" t="s">
        <v>179</v>
      </c>
      <c r="N468" s="21">
        <v>84.5</v>
      </c>
      <c r="O468" s="22">
        <v>84.5</v>
      </c>
      <c r="P468" s="23">
        <f>Table2[[#This Row],[Sum of Old TB]]-Table2[[#This Row],[Sum of New TB]]</f>
        <v>0</v>
      </c>
    </row>
    <row r="469" customHeight="1" spans="2:16">
      <c r="B469" s="8" t="s">
        <v>632</v>
      </c>
      <c r="C469" s="9" t="s">
        <v>151</v>
      </c>
      <c r="D469" s="1">
        <v>567</v>
      </c>
      <c r="E469" s="9"/>
      <c r="G469" s="1" t="s">
        <v>607</v>
      </c>
      <c r="H469" s="1" t="s">
        <v>175</v>
      </c>
      <c r="I469" s="2">
        <v>3866.8</v>
      </c>
      <c r="J469" s="2">
        <v>3866.8</v>
      </c>
      <c r="L469" s="12" t="s">
        <v>610</v>
      </c>
      <c r="M469" s="9" t="s">
        <v>197</v>
      </c>
      <c r="N469" s="21">
        <v>3717.02</v>
      </c>
      <c r="O469" s="22">
        <v>3717.02</v>
      </c>
      <c r="P469" s="23">
        <f>Table2[[#This Row],[Sum of Old TB]]-Table2[[#This Row],[Sum of New TB]]</f>
        <v>0</v>
      </c>
    </row>
    <row r="470" customHeight="1" spans="2:16">
      <c r="B470" s="8" t="s">
        <v>633</v>
      </c>
      <c r="C470" s="9" t="s">
        <v>153</v>
      </c>
      <c r="D470" s="1">
        <v>5276.94</v>
      </c>
      <c r="E470" s="9"/>
      <c r="G470" s="1" t="s">
        <v>608</v>
      </c>
      <c r="H470" s="1" t="s">
        <v>260</v>
      </c>
      <c r="I470" s="2">
        <v>8587.32</v>
      </c>
      <c r="L470" s="12" t="s">
        <v>634</v>
      </c>
      <c r="M470" s="9" t="s">
        <v>218</v>
      </c>
      <c r="N470" s="21"/>
      <c r="O470" s="22">
        <v>50265.32</v>
      </c>
      <c r="P470" s="23">
        <f>Table2[[#This Row],[Sum of Old TB]]-Table2[[#This Row],[Sum of New TB]]</f>
        <v>-50265.32</v>
      </c>
    </row>
    <row r="471" customHeight="1" spans="2:16">
      <c r="B471" s="8" t="s">
        <v>635</v>
      </c>
      <c r="C471" s="9" t="s">
        <v>249</v>
      </c>
      <c r="D471" s="1">
        <v>2513.96</v>
      </c>
      <c r="E471" s="9"/>
      <c r="G471" s="1" t="s">
        <v>609</v>
      </c>
      <c r="H471" s="1" t="s">
        <v>179</v>
      </c>
      <c r="I471" s="2">
        <v>84.5</v>
      </c>
      <c r="J471" s="2">
        <v>84.5</v>
      </c>
      <c r="L471" s="12" t="s">
        <v>636</v>
      </c>
      <c r="M471" s="9" t="s">
        <v>220</v>
      </c>
      <c r="N471" s="21"/>
      <c r="O471" s="22">
        <v>27980</v>
      </c>
      <c r="P471" s="23">
        <f>Table2[[#This Row],[Sum of Old TB]]-Table2[[#This Row],[Sum of New TB]]</f>
        <v>-27980</v>
      </c>
    </row>
    <row r="472" customHeight="1" spans="2:16">
      <c r="B472" s="8" t="s">
        <v>637</v>
      </c>
      <c r="C472" s="9" t="s">
        <v>346</v>
      </c>
      <c r="D472" s="1">
        <v>575</v>
      </c>
      <c r="E472" s="9"/>
      <c r="G472" s="1" t="s">
        <v>610</v>
      </c>
      <c r="H472" s="1" t="s">
        <v>197</v>
      </c>
      <c r="I472" s="2">
        <v>3717.02</v>
      </c>
      <c r="J472" s="2">
        <v>3717.02</v>
      </c>
      <c r="L472" s="12" t="s">
        <v>611</v>
      </c>
      <c r="M472" s="9" t="s">
        <v>612</v>
      </c>
      <c r="N472" s="21">
        <v>762750.57</v>
      </c>
      <c r="O472" s="22">
        <v>762750.57</v>
      </c>
      <c r="P472" s="23">
        <f>Table2[[#This Row],[Sum of Old TB]]-Table2[[#This Row],[Sum of New TB]]</f>
        <v>0</v>
      </c>
    </row>
    <row r="473" customHeight="1" spans="2:16">
      <c r="B473" s="8" t="s">
        <v>638</v>
      </c>
      <c r="C473" s="9" t="s">
        <v>165</v>
      </c>
      <c r="D473" s="1">
        <v>748.46</v>
      </c>
      <c r="E473" s="9"/>
      <c r="G473" s="1" t="s">
        <v>634</v>
      </c>
      <c r="H473" s="1" t="s">
        <v>218</v>
      </c>
      <c r="J473" s="2">
        <v>50265.32</v>
      </c>
      <c r="L473" s="12" t="s">
        <v>613</v>
      </c>
      <c r="M473" s="9" t="s">
        <v>275</v>
      </c>
      <c r="N473" s="21">
        <v>8203.46</v>
      </c>
      <c r="O473" s="22">
        <v>8203.46</v>
      </c>
      <c r="P473" s="23">
        <f>Table2[[#This Row],[Sum of Old TB]]-Table2[[#This Row],[Sum of New TB]]</f>
        <v>0</v>
      </c>
    </row>
    <row r="474" customHeight="1" spans="2:16">
      <c r="B474" s="8" t="s">
        <v>639</v>
      </c>
      <c r="C474" s="9" t="s">
        <v>167</v>
      </c>
      <c r="D474" s="1">
        <v>239.25</v>
      </c>
      <c r="E474" s="9"/>
      <c r="G474" s="1" t="s">
        <v>636</v>
      </c>
      <c r="H474" s="1" t="s">
        <v>220</v>
      </c>
      <c r="J474" s="2">
        <v>27980</v>
      </c>
      <c r="L474" s="12" t="s">
        <v>614</v>
      </c>
      <c r="M474" s="9" t="s">
        <v>277</v>
      </c>
      <c r="N474" s="21">
        <v>80716.91</v>
      </c>
      <c r="O474" s="22">
        <v>80716.91</v>
      </c>
      <c r="P474" s="23">
        <f>Table2[[#This Row],[Sum of Old TB]]-Table2[[#This Row],[Sum of New TB]]</f>
        <v>0</v>
      </c>
    </row>
    <row r="475" customHeight="1" spans="2:16">
      <c r="B475" s="8" t="s">
        <v>640</v>
      </c>
      <c r="C475" s="9" t="s">
        <v>175</v>
      </c>
      <c r="D475" s="1">
        <v>11786.64</v>
      </c>
      <c r="E475" s="9"/>
      <c r="G475" s="1" t="s">
        <v>611</v>
      </c>
      <c r="H475" s="1" t="s">
        <v>612</v>
      </c>
      <c r="I475" s="2">
        <v>762750.57</v>
      </c>
      <c r="J475" s="2">
        <v>762750.57</v>
      </c>
      <c r="L475" s="12" t="s">
        <v>615</v>
      </c>
      <c r="M475" s="9" t="s">
        <v>40</v>
      </c>
      <c r="N475" s="21">
        <v>-76347.49</v>
      </c>
      <c r="O475" s="22">
        <v>-76347.49</v>
      </c>
      <c r="P475" s="23">
        <f>Table2[[#This Row],[Sum of Old TB]]-Table2[[#This Row],[Sum of New TB]]</f>
        <v>0</v>
      </c>
    </row>
    <row r="476" customHeight="1" spans="2:16">
      <c r="B476" s="8" t="s">
        <v>641</v>
      </c>
      <c r="C476" s="9" t="s">
        <v>177</v>
      </c>
      <c r="D476" s="1">
        <v>12083</v>
      </c>
      <c r="E476" s="9"/>
      <c r="G476" s="1" t="s">
        <v>613</v>
      </c>
      <c r="H476" s="1" t="s">
        <v>275</v>
      </c>
      <c r="I476" s="2">
        <v>8203.46</v>
      </c>
      <c r="J476" s="2">
        <v>8203.46</v>
      </c>
      <c r="L476" s="12" t="s">
        <v>616</v>
      </c>
      <c r="M476" s="9" t="s">
        <v>42</v>
      </c>
      <c r="N476" s="21">
        <v>-4369.42</v>
      </c>
      <c r="O476" s="22">
        <v>-4369.42</v>
      </c>
      <c r="P476" s="23">
        <f>Table2[[#This Row],[Sum of Old TB]]-Table2[[#This Row],[Sum of New TB]]</f>
        <v>0</v>
      </c>
    </row>
    <row r="477" customHeight="1" spans="2:16">
      <c r="B477" s="8" t="s">
        <v>642</v>
      </c>
      <c r="C477" s="9" t="s">
        <v>260</v>
      </c>
      <c r="D477" s="1">
        <v>4412.82</v>
      </c>
      <c r="E477" s="9"/>
      <c r="G477" s="1" t="s">
        <v>614</v>
      </c>
      <c r="H477" s="1" t="s">
        <v>277</v>
      </c>
      <c r="I477" s="2">
        <v>80716.91</v>
      </c>
      <c r="J477" s="2">
        <v>80716.91</v>
      </c>
      <c r="L477" s="12" t="s">
        <v>617</v>
      </c>
      <c r="M477" s="9" t="s">
        <v>69</v>
      </c>
      <c r="N477" s="21">
        <v>-705851.16</v>
      </c>
      <c r="O477" s="22">
        <v>-705851.16</v>
      </c>
      <c r="P477" s="23">
        <f>Table2[[#This Row],[Sum of Old TB]]-Table2[[#This Row],[Sum of New TB]]</f>
        <v>0</v>
      </c>
    </row>
    <row r="478" customHeight="1" spans="2:16">
      <c r="B478" s="8" t="s">
        <v>643</v>
      </c>
      <c r="C478" s="9" t="s">
        <v>179</v>
      </c>
      <c r="D478" s="1">
        <v>4960.3</v>
      </c>
      <c r="E478" s="9"/>
      <c r="G478" s="1" t="s">
        <v>615</v>
      </c>
      <c r="H478" s="1" t="s">
        <v>40</v>
      </c>
      <c r="I478" s="2">
        <v>-76347.49</v>
      </c>
      <c r="J478" s="2">
        <v>-76347.49</v>
      </c>
      <c r="L478" s="12" t="s">
        <v>618</v>
      </c>
      <c r="M478" s="9" t="s">
        <v>107</v>
      </c>
      <c r="N478" s="21">
        <v>251031.88</v>
      </c>
      <c r="O478" s="22">
        <v>250976.88</v>
      </c>
      <c r="P478" s="23">
        <f>Table2[[#This Row],[Sum of Old TB]]-Table2[[#This Row],[Sum of New TB]]</f>
        <v>55</v>
      </c>
    </row>
    <row r="479" customHeight="1" spans="2:16">
      <c r="B479" s="8" t="s">
        <v>644</v>
      </c>
      <c r="C479" s="9" t="s">
        <v>645</v>
      </c>
      <c r="D479" s="1">
        <v>181795.67</v>
      </c>
      <c r="E479" s="9"/>
      <c r="G479" s="1" t="s">
        <v>616</v>
      </c>
      <c r="H479" s="1" t="s">
        <v>42</v>
      </c>
      <c r="I479" s="2">
        <v>-4369.42</v>
      </c>
      <c r="J479" s="2">
        <v>-4369.42</v>
      </c>
      <c r="L479" s="12" t="s">
        <v>619</v>
      </c>
      <c r="M479" s="9" t="s">
        <v>109</v>
      </c>
      <c r="N479" s="21">
        <v>22380.95</v>
      </c>
      <c r="O479" s="22">
        <v>22380.95</v>
      </c>
      <c r="P479" s="23">
        <f>Table2[[#This Row],[Sum of Old TB]]-Table2[[#This Row],[Sum of New TB]]</f>
        <v>0</v>
      </c>
    </row>
    <row r="480" customHeight="1" spans="2:16">
      <c r="B480" s="8" t="s">
        <v>646</v>
      </c>
      <c r="C480" s="9" t="s">
        <v>377</v>
      </c>
      <c r="D480" s="1">
        <v>2356.48</v>
      </c>
      <c r="E480" s="9"/>
      <c r="G480" s="1" t="s">
        <v>617</v>
      </c>
      <c r="H480" s="1" t="s">
        <v>69</v>
      </c>
      <c r="I480" s="2">
        <v>-705851.16</v>
      </c>
      <c r="J480" s="2">
        <v>-705851.16</v>
      </c>
      <c r="L480" s="12" t="s">
        <v>620</v>
      </c>
      <c r="M480" s="9" t="s">
        <v>111</v>
      </c>
      <c r="N480" s="21">
        <v>39871.49</v>
      </c>
      <c r="O480" s="22">
        <v>39871.49</v>
      </c>
      <c r="P480" s="23">
        <f>Table2[[#This Row],[Sum of Old TB]]-Table2[[#This Row],[Sum of New TB]]</f>
        <v>0</v>
      </c>
    </row>
    <row r="481" customHeight="1" spans="2:16">
      <c r="B481" s="8" t="s">
        <v>647</v>
      </c>
      <c r="C481" s="9" t="s">
        <v>275</v>
      </c>
      <c r="D481" s="1">
        <v>97532.53</v>
      </c>
      <c r="E481" s="9"/>
      <c r="G481" s="1" t="s">
        <v>618</v>
      </c>
      <c r="H481" s="1" t="s">
        <v>107</v>
      </c>
      <c r="I481" s="2">
        <v>251031.88</v>
      </c>
      <c r="J481" s="2">
        <v>250976.88</v>
      </c>
      <c r="L481" s="12" t="s">
        <v>621</v>
      </c>
      <c r="M481" s="9" t="s">
        <v>117</v>
      </c>
      <c r="N481" s="21">
        <v>4150</v>
      </c>
      <c r="O481" s="22">
        <v>4150</v>
      </c>
      <c r="P481" s="23">
        <f>Table2[[#This Row],[Sum of Old TB]]-Table2[[#This Row],[Sum of New TB]]</f>
        <v>0</v>
      </c>
    </row>
    <row r="482" customHeight="1" spans="2:16">
      <c r="B482" s="8" t="s">
        <v>648</v>
      </c>
      <c r="C482" s="9" t="s">
        <v>277</v>
      </c>
      <c r="D482" s="1">
        <v>34170.3</v>
      </c>
      <c r="E482" s="9"/>
      <c r="G482" s="1" t="s">
        <v>619</v>
      </c>
      <c r="H482" s="1" t="s">
        <v>109</v>
      </c>
      <c r="I482" s="2">
        <v>22380.95</v>
      </c>
      <c r="J482" s="2">
        <v>22380.95</v>
      </c>
      <c r="L482" s="12" t="s">
        <v>622</v>
      </c>
      <c r="M482" s="9" t="s">
        <v>121</v>
      </c>
      <c r="N482" s="21">
        <v>1798.5</v>
      </c>
      <c r="O482" s="22">
        <v>1798.5</v>
      </c>
      <c r="P482" s="23">
        <f>Table2[[#This Row],[Sum of Old TB]]-Table2[[#This Row],[Sum of New TB]]</f>
        <v>0</v>
      </c>
    </row>
    <row r="483" customHeight="1" spans="2:16">
      <c r="B483" s="8" t="s">
        <v>649</v>
      </c>
      <c r="C483" s="9" t="s">
        <v>40</v>
      </c>
      <c r="D483" s="1">
        <v>-32884.39</v>
      </c>
      <c r="E483" s="9"/>
      <c r="G483" s="1" t="s">
        <v>620</v>
      </c>
      <c r="H483" s="1" t="s">
        <v>111</v>
      </c>
      <c r="I483" s="2">
        <v>39871.49</v>
      </c>
      <c r="J483" s="2">
        <v>39871.49</v>
      </c>
      <c r="L483" s="12" t="s">
        <v>623</v>
      </c>
      <c r="M483" s="9" t="s">
        <v>125</v>
      </c>
      <c r="N483" s="21">
        <v>7.43</v>
      </c>
      <c r="O483" s="22">
        <v>62.43</v>
      </c>
      <c r="P483" s="23">
        <f>Table2[[#This Row],[Sum of Old TB]]-Table2[[#This Row],[Sum of New TB]]</f>
        <v>-55</v>
      </c>
    </row>
    <row r="484" customHeight="1" spans="2:16">
      <c r="B484" s="8" t="s">
        <v>650</v>
      </c>
      <c r="C484" s="9" t="s">
        <v>42</v>
      </c>
      <c r="D484" s="1">
        <v>-1285.91</v>
      </c>
      <c r="E484" s="9"/>
      <c r="G484" s="1" t="s">
        <v>621</v>
      </c>
      <c r="H484" s="1" t="s">
        <v>117</v>
      </c>
      <c r="I484" s="2">
        <v>4150</v>
      </c>
      <c r="J484" s="2">
        <v>4150</v>
      </c>
      <c r="L484" s="12" t="s">
        <v>624</v>
      </c>
      <c r="M484" s="9" t="s">
        <v>129</v>
      </c>
      <c r="N484" s="21">
        <v>5769.04</v>
      </c>
      <c r="O484" s="22">
        <v>5769.04</v>
      </c>
      <c r="P484" s="23">
        <f>Table2[[#This Row],[Sum of Old TB]]-Table2[[#This Row],[Sum of New TB]]</f>
        <v>0</v>
      </c>
    </row>
    <row r="485" customHeight="1" spans="2:16">
      <c r="B485" s="8" t="s">
        <v>651</v>
      </c>
      <c r="C485" s="9" t="s">
        <v>69</v>
      </c>
      <c r="D485" s="1">
        <v>-369671.72</v>
      </c>
      <c r="E485" s="9"/>
      <c r="G485" s="1" t="s">
        <v>622</v>
      </c>
      <c r="H485" s="1" t="s">
        <v>121</v>
      </c>
      <c r="I485" s="2">
        <v>1798.5</v>
      </c>
      <c r="J485" s="2">
        <v>1798.5</v>
      </c>
      <c r="L485" s="12" t="s">
        <v>625</v>
      </c>
      <c r="M485" s="9" t="s">
        <v>131</v>
      </c>
      <c r="N485" s="21">
        <v>2484</v>
      </c>
      <c r="O485" s="22">
        <v>2484</v>
      </c>
      <c r="P485" s="23">
        <f>Table2[[#This Row],[Sum of Old TB]]-Table2[[#This Row],[Sum of New TB]]</f>
        <v>0</v>
      </c>
    </row>
    <row r="486" customHeight="1" spans="2:16">
      <c r="B486" s="8" t="s">
        <v>652</v>
      </c>
      <c r="C486" s="9" t="s">
        <v>107</v>
      </c>
      <c r="D486" s="1">
        <v>209438.85</v>
      </c>
      <c r="E486" s="9"/>
      <c r="G486" s="1" t="s">
        <v>623</v>
      </c>
      <c r="H486" s="1" t="s">
        <v>125</v>
      </c>
      <c r="I486" s="2">
        <v>7.43</v>
      </c>
      <c r="J486" s="2">
        <v>62.43</v>
      </c>
      <c r="L486" s="12" t="s">
        <v>626</v>
      </c>
      <c r="M486" s="9" t="s">
        <v>133</v>
      </c>
      <c r="N486" s="21">
        <v>1511.69</v>
      </c>
      <c r="O486" s="22">
        <v>1511.69</v>
      </c>
      <c r="P486" s="23">
        <f>Table2[[#This Row],[Sum of Old TB]]-Table2[[#This Row],[Sum of New TB]]</f>
        <v>0</v>
      </c>
    </row>
    <row r="487" customHeight="1" spans="2:16">
      <c r="B487" s="8" t="s">
        <v>653</v>
      </c>
      <c r="C487" s="9" t="s">
        <v>109</v>
      </c>
      <c r="D487" s="1">
        <v>17798.52</v>
      </c>
      <c r="E487" s="9"/>
      <c r="G487" s="1" t="s">
        <v>624</v>
      </c>
      <c r="H487" s="1" t="s">
        <v>129</v>
      </c>
      <c r="I487" s="2">
        <v>5769.04</v>
      </c>
      <c r="J487" s="2">
        <v>5769.04</v>
      </c>
      <c r="L487" s="12" t="s">
        <v>628</v>
      </c>
      <c r="M487" s="9" t="s">
        <v>143</v>
      </c>
      <c r="N487" s="21">
        <v>5103.01</v>
      </c>
      <c r="O487" s="22">
        <v>5103.01</v>
      </c>
      <c r="P487" s="23">
        <f>Table2[[#This Row],[Sum of Old TB]]-Table2[[#This Row],[Sum of New TB]]</f>
        <v>0</v>
      </c>
    </row>
    <row r="488" customHeight="1" spans="2:16">
      <c r="B488" s="8" t="s">
        <v>654</v>
      </c>
      <c r="C488" s="9" t="s">
        <v>111</v>
      </c>
      <c r="D488" s="1">
        <v>20828.36</v>
      </c>
      <c r="E488" s="9"/>
      <c r="G488" s="1" t="s">
        <v>625</v>
      </c>
      <c r="H488" s="1" t="s">
        <v>131</v>
      </c>
      <c r="I488" s="2">
        <v>2484</v>
      </c>
      <c r="J488" s="2">
        <v>2484</v>
      </c>
      <c r="L488" s="12" t="s">
        <v>629</v>
      </c>
      <c r="M488" s="9" t="s">
        <v>145</v>
      </c>
      <c r="N488" s="21">
        <v>33976.24</v>
      </c>
      <c r="O488" s="22">
        <v>-24425.45</v>
      </c>
      <c r="P488" s="23">
        <f>Table2[[#This Row],[Sum of Old TB]]-Table2[[#This Row],[Sum of New TB]]</f>
        <v>58401.69</v>
      </c>
    </row>
    <row r="489" customHeight="1" spans="2:16">
      <c r="B489" s="8" t="s">
        <v>655</v>
      </c>
      <c r="C489" s="9" t="s">
        <v>117</v>
      </c>
      <c r="D489" s="1">
        <v>9340</v>
      </c>
      <c r="E489" s="9"/>
      <c r="G489" s="1" t="s">
        <v>626</v>
      </c>
      <c r="H489" s="1" t="s">
        <v>133</v>
      </c>
      <c r="I489" s="2">
        <v>1511.69</v>
      </c>
      <c r="J489" s="2">
        <v>1511.69</v>
      </c>
      <c r="L489" s="12" t="s">
        <v>630</v>
      </c>
      <c r="M489" s="9" t="s">
        <v>147</v>
      </c>
      <c r="N489" s="21">
        <v>7668.37</v>
      </c>
      <c r="O489" s="22">
        <v>7668.37</v>
      </c>
      <c r="P489" s="23">
        <f>Table2[[#This Row],[Sum of Old TB]]-Table2[[#This Row],[Sum of New TB]]</f>
        <v>0</v>
      </c>
    </row>
    <row r="490" customHeight="1" spans="2:16">
      <c r="B490" s="8" t="s">
        <v>656</v>
      </c>
      <c r="C490" s="9" t="s">
        <v>121</v>
      </c>
      <c r="D490" s="1">
        <v>11853.21</v>
      </c>
      <c r="E490" s="9"/>
      <c r="G490" s="1" t="s">
        <v>628</v>
      </c>
      <c r="H490" s="1" t="s">
        <v>143</v>
      </c>
      <c r="I490" s="2">
        <v>5103.01</v>
      </c>
      <c r="J490" s="2">
        <v>5103.01</v>
      </c>
      <c r="L490" s="12" t="s">
        <v>631</v>
      </c>
      <c r="M490" s="9" t="s">
        <v>149</v>
      </c>
      <c r="N490" s="21">
        <v>5250.51</v>
      </c>
      <c r="O490" s="22">
        <v>5250.51</v>
      </c>
      <c r="P490" s="23">
        <f>Table2[[#This Row],[Sum of Old TB]]-Table2[[#This Row],[Sum of New TB]]</f>
        <v>0</v>
      </c>
    </row>
    <row r="491" customHeight="1" spans="2:16">
      <c r="B491" s="8" t="s">
        <v>657</v>
      </c>
      <c r="C491" s="9" t="s">
        <v>129</v>
      </c>
      <c r="D491" s="1">
        <v>5073.3</v>
      </c>
      <c r="E491" s="9"/>
      <c r="G491" s="1" t="s">
        <v>629</v>
      </c>
      <c r="H491" s="1" t="s">
        <v>145</v>
      </c>
      <c r="I491" s="2">
        <v>33976.24</v>
      </c>
      <c r="J491" s="2">
        <v>-24425.45</v>
      </c>
      <c r="L491" s="12" t="s">
        <v>632</v>
      </c>
      <c r="M491" s="9" t="s">
        <v>151</v>
      </c>
      <c r="N491" s="21">
        <v>567</v>
      </c>
      <c r="O491" s="22">
        <v>567</v>
      </c>
      <c r="P491" s="23">
        <f>Table2[[#This Row],[Sum of Old TB]]-Table2[[#This Row],[Sum of New TB]]</f>
        <v>0</v>
      </c>
    </row>
    <row r="492" customHeight="1" spans="2:16">
      <c r="B492" s="8" t="s">
        <v>658</v>
      </c>
      <c r="C492" s="9" t="s">
        <v>309</v>
      </c>
      <c r="D492" s="1">
        <v>380.85</v>
      </c>
      <c r="E492" s="9"/>
      <c r="G492" s="1" t="s">
        <v>630</v>
      </c>
      <c r="H492" s="1" t="s">
        <v>147</v>
      </c>
      <c r="I492" s="2">
        <v>7668.37</v>
      </c>
      <c r="J492" s="2">
        <v>7668.37</v>
      </c>
      <c r="L492" s="12" t="s">
        <v>633</v>
      </c>
      <c r="M492" s="9" t="s">
        <v>153</v>
      </c>
      <c r="N492" s="21">
        <v>5276.94</v>
      </c>
      <c r="O492" s="22">
        <v>5276.94</v>
      </c>
      <c r="P492" s="23">
        <f>Table2[[#This Row],[Sum of Old TB]]-Table2[[#This Row],[Sum of New TB]]</f>
        <v>0</v>
      </c>
    </row>
    <row r="493" customHeight="1" spans="2:16">
      <c r="B493" s="8" t="s">
        <v>659</v>
      </c>
      <c r="C493" s="9" t="s">
        <v>458</v>
      </c>
      <c r="D493" s="1">
        <v>401.5</v>
      </c>
      <c r="E493" s="9"/>
      <c r="G493" s="1" t="s">
        <v>631</v>
      </c>
      <c r="H493" s="1" t="s">
        <v>149</v>
      </c>
      <c r="I493" s="2">
        <v>5250.51</v>
      </c>
      <c r="J493" s="2">
        <v>5250.51</v>
      </c>
      <c r="L493" s="12" t="s">
        <v>635</v>
      </c>
      <c r="M493" s="9" t="s">
        <v>249</v>
      </c>
      <c r="N493" s="21">
        <v>2513.96</v>
      </c>
      <c r="O493" s="22">
        <v>2513.96</v>
      </c>
      <c r="P493" s="23">
        <f>Table2[[#This Row],[Sum of Old TB]]-Table2[[#This Row],[Sum of New TB]]</f>
        <v>0</v>
      </c>
    </row>
    <row r="494" customHeight="1" spans="2:16">
      <c r="B494" s="8" t="s">
        <v>660</v>
      </c>
      <c r="C494" s="9" t="s">
        <v>286</v>
      </c>
      <c r="D494" s="1">
        <v>7821.53</v>
      </c>
      <c r="E494" s="9"/>
      <c r="G494" s="1" t="s">
        <v>632</v>
      </c>
      <c r="H494" s="1" t="s">
        <v>151</v>
      </c>
      <c r="I494" s="2">
        <v>567</v>
      </c>
      <c r="J494" s="2">
        <v>567</v>
      </c>
      <c r="L494" s="12" t="s">
        <v>661</v>
      </c>
      <c r="M494" s="9" t="s">
        <v>173</v>
      </c>
      <c r="N494" s="21"/>
      <c r="O494" s="22">
        <v>58401.69</v>
      </c>
      <c r="P494" s="23">
        <f>Table2[[#This Row],[Sum of Old TB]]-Table2[[#This Row],[Sum of New TB]]</f>
        <v>-58401.69</v>
      </c>
    </row>
    <row r="495" customHeight="1" spans="2:16">
      <c r="B495" s="8" t="s">
        <v>662</v>
      </c>
      <c r="C495" s="9" t="s">
        <v>131</v>
      </c>
      <c r="D495" s="1">
        <v>1656</v>
      </c>
      <c r="E495" s="9"/>
      <c r="G495" s="1" t="s">
        <v>633</v>
      </c>
      <c r="H495" s="1" t="s">
        <v>153</v>
      </c>
      <c r="I495" s="2">
        <v>5276.94</v>
      </c>
      <c r="J495" s="2">
        <v>5276.94</v>
      </c>
      <c r="L495" s="12" t="s">
        <v>637</v>
      </c>
      <c r="M495" s="9" t="s">
        <v>346</v>
      </c>
      <c r="N495" s="21">
        <v>575</v>
      </c>
      <c r="O495" s="22">
        <v>575</v>
      </c>
      <c r="P495" s="23">
        <f>Table2[[#This Row],[Sum of Old TB]]-Table2[[#This Row],[Sum of New TB]]</f>
        <v>0</v>
      </c>
    </row>
    <row r="496" customHeight="1" spans="2:16">
      <c r="B496" s="8" t="s">
        <v>663</v>
      </c>
      <c r="C496" s="9" t="s">
        <v>137</v>
      </c>
      <c r="D496" s="1">
        <v>100</v>
      </c>
      <c r="E496" s="9"/>
      <c r="G496" s="1" t="s">
        <v>635</v>
      </c>
      <c r="H496" s="1" t="s">
        <v>249</v>
      </c>
      <c r="I496" s="2">
        <v>2513.96</v>
      </c>
      <c r="J496" s="2">
        <v>2513.96</v>
      </c>
      <c r="L496" s="12" t="s">
        <v>638</v>
      </c>
      <c r="M496" s="9" t="s">
        <v>165</v>
      </c>
      <c r="N496" s="21">
        <v>748.46</v>
      </c>
      <c r="O496" s="22">
        <v>748.46</v>
      </c>
      <c r="P496" s="23">
        <f>Table2[[#This Row],[Sum of Old TB]]-Table2[[#This Row],[Sum of New TB]]</f>
        <v>0</v>
      </c>
    </row>
    <row r="497" customHeight="1" spans="2:16">
      <c r="B497" s="8" t="s">
        <v>664</v>
      </c>
      <c r="C497" s="9" t="s">
        <v>143</v>
      </c>
      <c r="D497" s="1">
        <v>4890.57</v>
      </c>
      <c r="E497" s="9"/>
      <c r="G497" s="1" t="s">
        <v>661</v>
      </c>
      <c r="H497" s="1" t="s">
        <v>173</v>
      </c>
      <c r="J497" s="2">
        <v>58401.69</v>
      </c>
      <c r="L497" s="12" t="s">
        <v>639</v>
      </c>
      <c r="M497" s="9" t="s">
        <v>167</v>
      </c>
      <c r="N497" s="21">
        <v>239.25</v>
      </c>
      <c r="O497" s="22">
        <v>239.25</v>
      </c>
      <c r="P497" s="23">
        <f>Table2[[#This Row],[Sum of Old TB]]-Table2[[#This Row],[Sum of New TB]]</f>
        <v>0</v>
      </c>
    </row>
    <row r="498" customHeight="1" spans="2:16">
      <c r="B498" s="8" t="s">
        <v>665</v>
      </c>
      <c r="C498" s="9" t="s">
        <v>147</v>
      </c>
      <c r="D498" s="1">
        <v>10031.93</v>
      </c>
      <c r="E498" s="9"/>
      <c r="G498" s="1" t="s">
        <v>637</v>
      </c>
      <c r="H498" s="1" t="s">
        <v>346</v>
      </c>
      <c r="I498" s="2">
        <v>575</v>
      </c>
      <c r="J498" s="2">
        <v>575</v>
      </c>
      <c r="L498" s="12" t="s">
        <v>640</v>
      </c>
      <c r="M498" s="9" t="s">
        <v>175</v>
      </c>
      <c r="N498" s="21">
        <v>11786.64</v>
      </c>
      <c r="O498" s="22">
        <v>11786.64</v>
      </c>
      <c r="P498" s="23">
        <f>Table2[[#This Row],[Sum of Old TB]]-Table2[[#This Row],[Sum of New TB]]</f>
        <v>0</v>
      </c>
    </row>
    <row r="499" customHeight="1" spans="2:16">
      <c r="B499" s="8" t="s">
        <v>666</v>
      </c>
      <c r="C499" s="9" t="s">
        <v>153</v>
      </c>
      <c r="D499" s="1">
        <v>3949.55</v>
      </c>
      <c r="E499" s="9"/>
      <c r="G499" s="1" t="s">
        <v>638</v>
      </c>
      <c r="H499" s="1" t="s">
        <v>165</v>
      </c>
      <c r="I499" s="2">
        <v>748.46</v>
      </c>
      <c r="J499" s="2">
        <v>748.46</v>
      </c>
      <c r="L499" s="12" t="s">
        <v>641</v>
      </c>
      <c r="M499" s="9" t="s">
        <v>177</v>
      </c>
      <c r="N499" s="21">
        <v>12083</v>
      </c>
      <c r="O499" s="22">
        <v>12083</v>
      </c>
      <c r="P499" s="23">
        <f>Table2[[#This Row],[Sum of Old TB]]-Table2[[#This Row],[Sum of New TB]]</f>
        <v>0</v>
      </c>
    </row>
    <row r="500" customHeight="1" spans="2:16">
      <c r="B500" s="8" t="s">
        <v>667</v>
      </c>
      <c r="C500" s="9" t="s">
        <v>252</v>
      </c>
      <c r="D500" s="1">
        <v>152</v>
      </c>
      <c r="E500" s="9"/>
      <c r="G500" s="1" t="s">
        <v>639</v>
      </c>
      <c r="H500" s="1" t="s">
        <v>167</v>
      </c>
      <c r="I500" s="2">
        <v>239.25</v>
      </c>
      <c r="J500" s="2">
        <v>239.25</v>
      </c>
      <c r="L500" s="12" t="s">
        <v>642</v>
      </c>
      <c r="M500" s="9" t="s">
        <v>260</v>
      </c>
      <c r="N500" s="21">
        <v>4412.82</v>
      </c>
      <c r="O500" s="22">
        <v>4412.82</v>
      </c>
      <c r="P500" s="23">
        <f>Table2[[#This Row],[Sum of Old TB]]-Table2[[#This Row],[Sum of New TB]]</f>
        <v>0</v>
      </c>
    </row>
    <row r="501" customHeight="1" spans="2:16">
      <c r="B501" s="8" t="s">
        <v>668</v>
      </c>
      <c r="C501" s="9" t="s">
        <v>165</v>
      </c>
      <c r="D501" s="1">
        <v>1049.88</v>
      </c>
      <c r="E501" s="9"/>
      <c r="G501" s="1" t="s">
        <v>640</v>
      </c>
      <c r="H501" s="1" t="s">
        <v>175</v>
      </c>
      <c r="I501" s="2">
        <v>11786.64</v>
      </c>
      <c r="J501" s="2">
        <v>11786.64</v>
      </c>
      <c r="L501" s="12" t="s">
        <v>643</v>
      </c>
      <c r="M501" s="9" t="s">
        <v>179</v>
      </c>
      <c r="N501" s="21">
        <v>4960.3</v>
      </c>
      <c r="O501" s="22">
        <v>4960.3</v>
      </c>
      <c r="P501" s="23">
        <f>Table2[[#This Row],[Sum of Old TB]]-Table2[[#This Row],[Sum of New TB]]</f>
        <v>0</v>
      </c>
    </row>
    <row r="502" customHeight="1" spans="2:16">
      <c r="B502" s="8" t="s">
        <v>669</v>
      </c>
      <c r="C502" s="9" t="s">
        <v>167</v>
      </c>
      <c r="D502" s="1">
        <v>246.5</v>
      </c>
      <c r="E502" s="9"/>
      <c r="G502" s="1" t="s">
        <v>641</v>
      </c>
      <c r="H502" s="1" t="s">
        <v>177</v>
      </c>
      <c r="I502" s="2">
        <v>12083</v>
      </c>
      <c r="J502" s="2">
        <v>12083</v>
      </c>
      <c r="L502" s="12" t="s">
        <v>644</v>
      </c>
      <c r="M502" s="9" t="s">
        <v>645</v>
      </c>
      <c r="N502" s="21">
        <v>181795.67</v>
      </c>
      <c r="O502" s="22">
        <v>181795.67</v>
      </c>
      <c r="P502" s="23">
        <f>Table2[[#This Row],[Sum of Old TB]]-Table2[[#This Row],[Sum of New TB]]</f>
        <v>0</v>
      </c>
    </row>
    <row r="503" customHeight="1" spans="2:16">
      <c r="B503" s="8" t="s">
        <v>670</v>
      </c>
      <c r="C503" s="9" t="s">
        <v>175</v>
      </c>
      <c r="D503" s="1">
        <v>8617.33</v>
      </c>
      <c r="E503" s="9"/>
      <c r="G503" s="1" t="s">
        <v>642</v>
      </c>
      <c r="H503" s="1" t="s">
        <v>260</v>
      </c>
      <c r="I503" s="2">
        <v>4412.82</v>
      </c>
      <c r="J503" s="2">
        <v>4412.82</v>
      </c>
      <c r="L503" s="12" t="s">
        <v>646</v>
      </c>
      <c r="M503" s="9" t="s">
        <v>377</v>
      </c>
      <c r="N503" s="21">
        <v>2356.48</v>
      </c>
      <c r="O503" s="22">
        <v>2356.48</v>
      </c>
      <c r="P503" s="23">
        <f>Table2[[#This Row],[Sum of Old TB]]-Table2[[#This Row],[Sum of New TB]]</f>
        <v>0</v>
      </c>
    </row>
    <row r="504" customHeight="1" spans="2:16">
      <c r="B504" s="8" t="s">
        <v>671</v>
      </c>
      <c r="C504" s="9" t="s">
        <v>177</v>
      </c>
      <c r="D504" s="1">
        <v>695</v>
      </c>
      <c r="E504" s="9"/>
      <c r="G504" s="1" t="s">
        <v>643</v>
      </c>
      <c r="H504" s="1" t="s">
        <v>179</v>
      </c>
      <c r="I504" s="2">
        <v>4960.3</v>
      </c>
      <c r="J504" s="2">
        <v>4960.3</v>
      </c>
      <c r="L504" s="12" t="s">
        <v>647</v>
      </c>
      <c r="M504" s="9" t="s">
        <v>275</v>
      </c>
      <c r="N504" s="21">
        <v>97532.53</v>
      </c>
      <c r="O504" s="22">
        <v>97532.53</v>
      </c>
      <c r="P504" s="23">
        <f>Table2[[#This Row],[Sum of Old TB]]-Table2[[#This Row],[Sum of New TB]]</f>
        <v>0</v>
      </c>
    </row>
    <row r="505" customHeight="1" spans="2:16">
      <c r="B505" s="8" t="s">
        <v>672</v>
      </c>
      <c r="C505" s="9" t="s">
        <v>185</v>
      </c>
      <c r="D505" s="1">
        <v>2184.16</v>
      </c>
      <c r="E505" s="9"/>
      <c r="G505" s="1" t="s">
        <v>644</v>
      </c>
      <c r="H505" s="1" t="s">
        <v>645</v>
      </c>
      <c r="I505" s="2">
        <v>181795.67</v>
      </c>
      <c r="J505" s="2">
        <v>181795.67</v>
      </c>
      <c r="L505" s="12" t="s">
        <v>648</v>
      </c>
      <c r="M505" s="9" t="s">
        <v>277</v>
      </c>
      <c r="N505" s="21">
        <v>34170.3</v>
      </c>
      <c r="O505" s="22">
        <v>34170.3</v>
      </c>
      <c r="P505" s="23">
        <f>Table2[[#This Row],[Sum of Old TB]]-Table2[[#This Row],[Sum of New TB]]</f>
        <v>0</v>
      </c>
    </row>
    <row r="506" customHeight="1" spans="2:16">
      <c r="B506" s="8" t="s">
        <v>673</v>
      </c>
      <c r="C506" s="9" t="s">
        <v>187</v>
      </c>
      <c r="D506" s="1">
        <v>314.91</v>
      </c>
      <c r="E506" s="9"/>
      <c r="G506" s="1" t="s">
        <v>646</v>
      </c>
      <c r="H506" s="1" t="s">
        <v>377</v>
      </c>
      <c r="I506" s="2">
        <v>2356.48</v>
      </c>
      <c r="J506" s="2">
        <v>2356.48</v>
      </c>
      <c r="L506" s="12" t="s">
        <v>649</v>
      </c>
      <c r="M506" s="9" t="s">
        <v>40</v>
      </c>
      <c r="N506" s="21">
        <v>-32884.39</v>
      </c>
      <c r="O506" s="22">
        <v>-32884.39</v>
      </c>
      <c r="P506" s="23">
        <f>Table2[[#This Row],[Sum of Old TB]]-Table2[[#This Row],[Sum of New TB]]</f>
        <v>0</v>
      </c>
    </row>
    <row r="507" customHeight="1" spans="2:16">
      <c r="B507" s="8" t="s">
        <v>674</v>
      </c>
      <c r="C507" s="9" t="s">
        <v>417</v>
      </c>
      <c r="D507" s="1">
        <v>278.4</v>
      </c>
      <c r="E507" s="9"/>
      <c r="G507" s="1" t="s">
        <v>647</v>
      </c>
      <c r="H507" s="1" t="s">
        <v>275</v>
      </c>
      <c r="I507" s="2">
        <v>97532.53</v>
      </c>
      <c r="J507" s="2">
        <v>97532.53</v>
      </c>
      <c r="L507" s="12" t="s">
        <v>650</v>
      </c>
      <c r="M507" s="9" t="s">
        <v>42</v>
      </c>
      <c r="N507" s="21">
        <v>-1285.91</v>
      </c>
      <c r="O507" s="22">
        <v>-1285.91</v>
      </c>
      <c r="P507" s="23">
        <f>Table2[[#This Row],[Sum of Old TB]]-Table2[[#This Row],[Sum of New TB]]</f>
        <v>0</v>
      </c>
    </row>
    <row r="508" customHeight="1" spans="2:16">
      <c r="B508" s="8" t="s">
        <v>675</v>
      </c>
      <c r="C508" s="9" t="s">
        <v>197</v>
      </c>
      <c r="D508" s="1">
        <v>1174.47</v>
      </c>
      <c r="E508" s="9"/>
      <c r="G508" s="1" t="s">
        <v>648</v>
      </c>
      <c r="H508" s="1" t="s">
        <v>277</v>
      </c>
      <c r="I508" s="2">
        <v>34170.3</v>
      </c>
      <c r="J508" s="2">
        <v>34170.3</v>
      </c>
      <c r="L508" s="12" t="s">
        <v>651</v>
      </c>
      <c r="M508" s="9" t="s">
        <v>69</v>
      </c>
      <c r="N508" s="21">
        <v>-369671.72</v>
      </c>
      <c r="O508" s="22">
        <v>-369671.72</v>
      </c>
      <c r="P508" s="23">
        <f>Table2[[#This Row],[Sum of Old TB]]-Table2[[#This Row],[Sum of New TB]]</f>
        <v>0</v>
      </c>
    </row>
    <row r="509" customHeight="1" spans="2:16">
      <c r="B509" s="8" t="s">
        <v>676</v>
      </c>
      <c r="C509" s="9" t="s">
        <v>377</v>
      </c>
      <c r="D509" s="1">
        <v>158.64</v>
      </c>
      <c r="E509" s="9"/>
      <c r="G509" s="1" t="s">
        <v>649</v>
      </c>
      <c r="H509" s="1" t="s">
        <v>40</v>
      </c>
      <c r="I509" s="2">
        <v>-32884.39</v>
      </c>
      <c r="J509" s="2">
        <v>-32884.39</v>
      </c>
      <c r="L509" s="12" t="s">
        <v>652</v>
      </c>
      <c r="M509" s="9" t="s">
        <v>107</v>
      </c>
      <c r="N509" s="21">
        <v>209438.85</v>
      </c>
      <c r="O509" s="22">
        <v>209138.85</v>
      </c>
      <c r="P509" s="23">
        <f>Table2[[#This Row],[Sum of Old TB]]-Table2[[#This Row],[Sum of New TB]]</f>
        <v>300</v>
      </c>
    </row>
    <row r="510" customHeight="1" spans="2:16">
      <c r="B510" s="8" t="s">
        <v>677</v>
      </c>
      <c r="C510" s="9" t="s">
        <v>275</v>
      </c>
      <c r="D510" s="1">
        <v>51236.26</v>
      </c>
      <c r="E510" s="9"/>
      <c r="G510" s="1" t="s">
        <v>650</v>
      </c>
      <c r="H510" s="1" t="s">
        <v>42</v>
      </c>
      <c r="I510" s="2">
        <v>-1285.91</v>
      </c>
      <c r="J510" s="2">
        <v>-1285.91</v>
      </c>
      <c r="L510" s="12" t="s">
        <v>653</v>
      </c>
      <c r="M510" s="9" t="s">
        <v>109</v>
      </c>
      <c r="N510" s="21">
        <v>17798.52</v>
      </c>
      <c r="O510" s="22">
        <v>17798.52</v>
      </c>
      <c r="P510" s="23">
        <f>Table2[[#This Row],[Sum of Old TB]]-Table2[[#This Row],[Sum of New TB]]</f>
        <v>0</v>
      </c>
    </row>
    <row r="511" customHeight="1" spans="2:16">
      <c r="B511" s="8" t="s">
        <v>678</v>
      </c>
      <c r="C511" s="9" t="s">
        <v>40</v>
      </c>
      <c r="D511" s="1">
        <v>-8.5</v>
      </c>
      <c r="E511" s="9"/>
      <c r="G511" s="1" t="s">
        <v>651</v>
      </c>
      <c r="H511" s="1" t="s">
        <v>69</v>
      </c>
      <c r="I511" s="2">
        <v>-369671.72</v>
      </c>
      <c r="J511" s="2">
        <v>-369671.72</v>
      </c>
      <c r="L511" s="12" t="s">
        <v>654</v>
      </c>
      <c r="M511" s="9" t="s">
        <v>111</v>
      </c>
      <c r="N511" s="21">
        <v>20828.36</v>
      </c>
      <c r="O511" s="22">
        <v>21128.36</v>
      </c>
      <c r="P511" s="23">
        <f>Table2[[#This Row],[Sum of Old TB]]-Table2[[#This Row],[Sum of New TB]]</f>
        <v>-300</v>
      </c>
    </row>
    <row r="512" customHeight="1" spans="2:16">
      <c r="B512" s="8" t="s">
        <v>679</v>
      </c>
      <c r="C512" s="9" t="s">
        <v>55</v>
      </c>
      <c r="D512" s="1">
        <v>8.5</v>
      </c>
      <c r="E512" s="9"/>
      <c r="G512" s="1" t="s">
        <v>652</v>
      </c>
      <c r="H512" s="1" t="s">
        <v>107</v>
      </c>
      <c r="I512" s="2">
        <v>209438.85</v>
      </c>
      <c r="J512" s="2">
        <v>209138.85</v>
      </c>
      <c r="L512" s="12" t="s">
        <v>655</v>
      </c>
      <c r="M512" s="9" t="s">
        <v>117</v>
      </c>
      <c r="N512" s="21">
        <v>9340</v>
      </c>
      <c r="O512" s="22">
        <v>9340</v>
      </c>
      <c r="P512" s="23">
        <f>Table2[[#This Row],[Sum of Old TB]]-Table2[[#This Row],[Sum of New TB]]</f>
        <v>0</v>
      </c>
    </row>
    <row r="513" customHeight="1" spans="2:16">
      <c r="B513" s="8" t="s">
        <v>680</v>
      </c>
      <c r="C513" s="9" t="s">
        <v>69</v>
      </c>
      <c r="D513" s="1">
        <v>-159616.74</v>
      </c>
      <c r="E513" s="9"/>
      <c r="G513" s="1" t="s">
        <v>653</v>
      </c>
      <c r="H513" s="1" t="s">
        <v>109</v>
      </c>
      <c r="I513" s="2">
        <v>17798.52</v>
      </c>
      <c r="J513" s="2">
        <v>17798.52</v>
      </c>
      <c r="L513" s="12" t="s">
        <v>656</v>
      </c>
      <c r="M513" s="9" t="s">
        <v>121</v>
      </c>
      <c r="N513" s="21">
        <v>11853.21</v>
      </c>
      <c r="O513" s="22">
        <v>11853.21</v>
      </c>
      <c r="P513" s="23">
        <f>Table2[[#This Row],[Sum of Old TB]]-Table2[[#This Row],[Sum of New TB]]</f>
        <v>0</v>
      </c>
    </row>
    <row r="514" customHeight="1" spans="2:16">
      <c r="B514" s="8" t="s">
        <v>681</v>
      </c>
      <c r="C514" s="9" t="s">
        <v>107</v>
      </c>
      <c r="D514" s="1">
        <v>63012</v>
      </c>
      <c r="E514" s="9"/>
      <c r="G514" s="1" t="s">
        <v>654</v>
      </c>
      <c r="H514" s="1" t="s">
        <v>111</v>
      </c>
      <c r="I514" s="2">
        <v>20828.36</v>
      </c>
      <c r="J514" s="2">
        <v>21128.36</v>
      </c>
      <c r="L514" s="12" t="s">
        <v>657</v>
      </c>
      <c r="M514" s="9" t="s">
        <v>129</v>
      </c>
      <c r="N514" s="21">
        <v>5073.3</v>
      </c>
      <c r="O514" s="22">
        <v>5073.3</v>
      </c>
      <c r="P514" s="23">
        <f>Table2[[#This Row],[Sum of Old TB]]-Table2[[#This Row],[Sum of New TB]]</f>
        <v>0</v>
      </c>
    </row>
    <row r="515" customHeight="1" spans="2:16">
      <c r="B515" s="8" t="s">
        <v>682</v>
      </c>
      <c r="C515" s="9" t="s">
        <v>109</v>
      </c>
      <c r="D515" s="1">
        <v>5338.42</v>
      </c>
      <c r="E515" s="9"/>
      <c r="G515" s="1" t="s">
        <v>655</v>
      </c>
      <c r="H515" s="1" t="s">
        <v>117</v>
      </c>
      <c r="I515" s="2">
        <v>9340</v>
      </c>
      <c r="J515" s="2">
        <v>9340</v>
      </c>
      <c r="L515" s="12" t="s">
        <v>658</v>
      </c>
      <c r="M515" s="9" t="s">
        <v>309</v>
      </c>
      <c r="N515" s="21">
        <v>380.85</v>
      </c>
      <c r="O515" s="22">
        <v>380.85</v>
      </c>
      <c r="P515" s="23">
        <f>Table2[[#This Row],[Sum of Old TB]]-Table2[[#This Row],[Sum of New TB]]</f>
        <v>0</v>
      </c>
    </row>
    <row r="516" customHeight="1" spans="2:16">
      <c r="B516" s="8" t="s">
        <v>683</v>
      </c>
      <c r="C516" s="9" t="s">
        <v>111</v>
      </c>
      <c r="D516" s="1">
        <v>11439.91</v>
      </c>
      <c r="E516" s="9"/>
      <c r="G516" s="1" t="s">
        <v>656</v>
      </c>
      <c r="H516" s="1" t="s">
        <v>121</v>
      </c>
      <c r="I516" s="2">
        <v>11853.21</v>
      </c>
      <c r="J516" s="2">
        <v>11853.21</v>
      </c>
      <c r="L516" s="12" t="s">
        <v>659</v>
      </c>
      <c r="M516" s="9" t="s">
        <v>458</v>
      </c>
      <c r="N516" s="21">
        <v>401.5</v>
      </c>
      <c r="O516" s="22">
        <v>401.5</v>
      </c>
      <c r="P516" s="23">
        <f>Table2[[#This Row],[Sum of Old TB]]-Table2[[#This Row],[Sum of New TB]]</f>
        <v>0</v>
      </c>
    </row>
    <row r="517" customHeight="1" spans="2:16">
      <c r="B517" s="8" t="s">
        <v>684</v>
      </c>
      <c r="C517" s="9" t="s">
        <v>113</v>
      </c>
      <c r="D517" s="1">
        <v>215</v>
      </c>
      <c r="E517" s="9"/>
      <c r="G517" s="1" t="s">
        <v>657</v>
      </c>
      <c r="H517" s="1" t="s">
        <v>129</v>
      </c>
      <c r="I517" s="2">
        <v>5073.3</v>
      </c>
      <c r="J517" s="2">
        <v>5073.3</v>
      </c>
      <c r="L517" s="12" t="s">
        <v>660</v>
      </c>
      <c r="M517" s="9" t="s">
        <v>286</v>
      </c>
      <c r="N517" s="21">
        <v>7821.53</v>
      </c>
      <c r="O517" s="22">
        <v>7821.53</v>
      </c>
      <c r="P517" s="23">
        <f>Table2[[#This Row],[Sum of Old TB]]-Table2[[#This Row],[Sum of New TB]]</f>
        <v>0</v>
      </c>
    </row>
    <row r="518" customHeight="1" spans="2:16">
      <c r="B518" s="8" t="s">
        <v>685</v>
      </c>
      <c r="C518" s="9" t="s">
        <v>117</v>
      </c>
      <c r="D518" s="1">
        <v>1500</v>
      </c>
      <c r="E518" s="9"/>
      <c r="G518" s="1" t="s">
        <v>658</v>
      </c>
      <c r="H518" s="1" t="s">
        <v>309</v>
      </c>
      <c r="I518" s="2">
        <v>380.85</v>
      </c>
      <c r="J518" s="2">
        <v>380.85</v>
      </c>
      <c r="L518" s="12" t="s">
        <v>662</v>
      </c>
      <c r="M518" s="9" t="s">
        <v>131</v>
      </c>
      <c r="N518" s="21">
        <v>1656</v>
      </c>
      <c r="O518" s="22">
        <v>1656</v>
      </c>
      <c r="P518" s="23">
        <f>Table2[[#This Row],[Sum of Old TB]]-Table2[[#This Row],[Sum of New TB]]</f>
        <v>0</v>
      </c>
    </row>
    <row r="519" customHeight="1" spans="2:16">
      <c r="B519" s="8" t="s">
        <v>686</v>
      </c>
      <c r="C519" s="9" t="s">
        <v>121</v>
      </c>
      <c r="D519" s="1">
        <v>400</v>
      </c>
      <c r="E519" s="9"/>
      <c r="G519" s="1" t="s">
        <v>659</v>
      </c>
      <c r="H519" s="1" t="s">
        <v>458</v>
      </c>
      <c r="I519" s="2">
        <v>401.5</v>
      </c>
      <c r="J519" s="2">
        <v>401.5</v>
      </c>
      <c r="L519" s="12" t="s">
        <v>663</v>
      </c>
      <c r="M519" s="9" t="s">
        <v>137</v>
      </c>
      <c r="N519" s="21">
        <v>100</v>
      </c>
      <c r="O519" s="22">
        <v>100</v>
      </c>
      <c r="P519" s="23">
        <f>Table2[[#This Row],[Sum of Old TB]]-Table2[[#This Row],[Sum of New TB]]</f>
        <v>0</v>
      </c>
    </row>
    <row r="520" customHeight="1" spans="2:16">
      <c r="B520" s="8" t="s">
        <v>687</v>
      </c>
      <c r="C520" s="9" t="s">
        <v>129</v>
      </c>
      <c r="D520" s="1">
        <v>5750.62</v>
      </c>
      <c r="E520" s="9"/>
      <c r="G520" s="1" t="s">
        <v>660</v>
      </c>
      <c r="H520" s="1" t="s">
        <v>286</v>
      </c>
      <c r="I520" s="2">
        <v>7821.53</v>
      </c>
      <c r="J520" s="2">
        <v>7821.53</v>
      </c>
      <c r="L520" s="12" t="s">
        <v>664</v>
      </c>
      <c r="M520" s="9" t="s">
        <v>143</v>
      </c>
      <c r="N520" s="21">
        <v>4890.57</v>
      </c>
      <c r="O520" s="22">
        <v>4890.57</v>
      </c>
      <c r="P520" s="23">
        <f>Table2[[#This Row],[Sum of Old TB]]-Table2[[#This Row],[Sum of New TB]]</f>
        <v>0</v>
      </c>
    </row>
    <row r="521" customHeight="1" spans="2:16">
      <c r="B521" s="8" t="s">
        <v>688</v>
      </c>
      <c r="C521" s="9" t="s">
        <v>133</v>
      </c>
      <c r="D521" s="1">
        <v>6473.32</v>
      </c>
      <c r="E521" s="9"/>
      <c r="G521" s="1" t="s">
        <v>662</v>
      </c>
      <c r="H521" s="1" t="s">
        <v>131</v>
      </c>
      <c r="I521" s="2">
        <v>1656</v>
      </c>
      <c r="J521" s="2">
        <v>1656</v>
      </c>
      <c r="L521" s="12" t="s">
        <v>665</v>
      </c>
      <c r="M521" s="9" t="s">
        <v>147</v>
      </c>
      <c r="N521" s="21">
        <v>10031.93</v>
      </c>
      <c r="O521" s="22">
        <v>10031.93</v>
      </c>
      <c r="P521" s="23">
        <f>Table2[[#This Row],[Sum of Old TB]]-Table2[[#This Row],[Sum of New TB]]</f>
        <v>0</v>
      </c>
    </row>
    <row r="522" customHeight="1" spans="2:16">
      <c r="B522" s="8" t="s">
        <v>689</v>
      </c>
      <c r="C522" s="9" t="s">
        <v>143</v>
      </c>
      <c r="D522" s="1">
        <v>49040.06</v>
      </c>
      <c r="E522" s="9"/>
      <c r="G522" s="1" t="s">
        <v>663</v>
      </c>
      <c r="H522" s="1" t="s">
        <v>137</v>
      </c>
      <c r="I522" s="2">
        <v>100</v>
      </c>
      <c r="J522" s="2">
        <v>100</v>
      </c>
      <c r="L522" s="12" t="s">
        <v>666</v>
      </c>
      <c r="M522" s="9" t="s">
        <v>153</v>
      </c>
      <c r="N522" s="21">
        <v>3949.55</v>
      </c>
      <c r="O522" s="22">
        <v>3949.55</v>
      </c>
      <c r="P522" s="23">
        <f>Table2[[#This Row],[Sum of Old TB]]-Table2[[#This Row],[Sum of New TB]]</f>
        <v>0</v>
      </c>
    </row>
    <row r="523" customHeight="1" spans="2:16">
      <c r="B523" s="8" t="s">
        <v>690</v>
      </c>
      <c r="C523" s="9" t="s">
        <v>153</v>
      </c>
      <c r="D523" s="1">
        <v>2330.57</v>
      </c>
      <c r="E523" s="9"/>
      <c r="G523" s="1" t="s">
        <v>664</v>
      </c>
      <c r="H523" s="1" t="s">
        <v>143</v>
      </c>
      <c r="I523" s="2">
        <v>4890.57</v>
      </c>
      <c r="J523" s="2">
        <v>4890.57</v>
      </c>
      <c r="L523" s="12" t="s">
        <v>667</v>
      </c>
      <c r="M523" s="9" t="s">
        <v>252</v>
      </c>
      <c r="N523" s="21">
        <v>152</v>
      </c>
      <c r="O523" s="22">
        <v>152</v>
      </c>
      <c r="P523" s="23">
        <f>Table2[[#This Row],[Sum of Old TB]]-Table2[[#This Row],[Sum of New TB]]</f>
        <v>0</v>
      </c>
    </row>
    <row r="524" customHeight="1" spans="2:16">
      <c r="B524" s="8" t="s">
        <v>691</v>
      </c>
      <c r="C524" s="9" t="s">
        <v>249</v>
      </c>
      <c r="D524" s="1">
        <v>231.88</v>
      </c>
      <c r="E524" s="9"/>
      <c r="G524" s="1" t="s">
        <v>665</v>
      </c>
      <c r="H524" s="1" t="s">
        <v>147</v>
      </c>
      <c r="I524" s="2">
        <v>10031.93</v>
      </c>
      <c r="J524" s="2">
        <v>10031.93</v>
      </c>
      <c r="L524" s="12" t="s">
        <v>668</v>
      </c>
      <c r="M524" s="9" t="s">
        <v>165</v>
      </c>
      <c r="N524" s="21">
        <v>1049.88</v>
      </c>
      <c r="O524" s="22">
        <v>1049.88</v>
      </c>
      <c r="P524" s="23">
        <f>Table2[[#This Row],[Sum of Old TB]]-Table2[[#This Row],[Sum of New TB]]</f>
        <v>0</v>
      </c>
    </row>
    <row r="525" customHeight="1" spans="2:16">
      <c r="B525" s="8" t="s">
        <v>692</v>
      </c>
      <c r="C525" s="9" t="s">
        <v>161</v>
      </c>
      <c r="D525" s="1">
        <v>8887.8</v>
      </c>
      <c r="E525" s="9"/>
      <c r="G525" s="1" t="s">
        <v>666</v>
      </c>
      <c r="H525" s="1" t="s">
        <v>153</v>
      </c>
      <c r="I525" s="2">
        <v>3949.55</v>
      </c>
      <c r="J525" s="2">
        <v>3949.55</v>
      </c>
      <c r="L525" s="12" t="s">
        <v>669</v>
      </c>
      <c r="M525" s="9" t="s">
        <v>167</v>
      </c>
      <c r="N525" s="21">
        <v>246.5</v>
      </c>
      <c r="O525" s="22">
        <v>246.5</v>
      </c>
      <c r="P525" s="23">
        <f>Table2[[#This Row],[Sum of Old TB]]-Table2[[#This Row],[Sum of New TB]]</f>
        <v>0</v>
      </c>
    </row>
    <row r="526" customHeight="1" spans="2:16">
      <c r="B526" s="8" t="s">
        <v>693</v>
      </c>
      <c r="C526" s="9" t="s">
        <v>177</v>
      </c>
      <c r="D526" s="1">
        <v>1848.35</v>
      </c>
      <c r="E526" s="9"/>
      <c r="G526" s="1" t="s">
        <v>667</v>
      </c>
      <c r="H526" s="1" t="s">
        <v>252</v>
      </c>
      <c r="I526" s="2">
        <v>152</v>
      </c>
      <c r="J526" s="2">
        <v>152</v>
      </c>
      <c r="L526" s="12" t="s">
        <v>670</v>
      </c>
      <c r="M526" s="9" t="s">
        <v>175</v>
      </c>
      <c r="N526" s="21">
        <v>8617.33</v>
      </c>
      <c r="O526" s="22">
        <v>8617.33</v>
      </c>
      <c r="P526" s="23">
        <f>Table2[[#This Row],[Sum of Old TB]]-Table2[[#This Row],[Sum of New TB]]</f>
        <v>0</v>
      </c>
    </row>
    <row r="527" customHeight="1" spans="2:16">
      <c r="B527" s="8" t="s">
        <v>694</v>
      </c>
      <c r="C527" s="9" t="s">
        <v>275</v>
      </c>
      <c r="D527" s="1">
        <v>3148.81</v>
      </c>
      <c r="E527" s="9"/>
      <c r="G527" s="1" t="s">
        <v>668</v>
      </c>
      <c r="H527" s="1" t="s">
        <v>165</v>
      </c>
      <c r="I527" s="2">
        <v>1049.88</v>
      </c>
      <c r="J527" s="2">
        <v>1049.88</v>
      </c>
      <c r="L527" s="12" t="s">
        <v>671</v>
      </c>
      <c r="M527" s="9" t="s">
        <v>177</v>
      </c>
      <c r="N527" s="21">
        <v>695</v>
      </c>
      <c r="O527" s="22">
        <v>695</v>
      </c>
      <c r="P527" s="23">
        <f>Table2[[#This Row],[Sum of Old TB]]-Table2[[#This Row],[Sum of New TB]]</f>
        <v>0</v>
      </c>
    </row>
    <row r="528" customHeight="1" spans="2:16">
      <c r="B528" s="8" t="s">
        <v>695</v>
      </c>
      <c r="C528" s="9" t="s">
        <v>277</v>
      </c>
      <c r="D528" s="1">
        <v>53883.24</v>
      </c>
      <c r="E528" s="9"/>
      <c r="G528" s="1" t="s">
        <v>669</v>
      </c>
      <c r="H528" s="1" t="s">
        <v>167</v>
      </c>
      <c r="I528" s="2">
        <v>246.5</v>
      </c>
      <c r="J528" s="2">
        <v>246.5</v>
      </c>
      <c r="L528" s="12" t="s">
        <v>672</v>
      </c>
      <c r="M528" s="9" t="s">
        <v>185</v>
      </c>
      <c r="N528" s="21">
        <v>2184.16</v>
      </c>
      <c r="O528" s="22">
        <v>2184.16</v>
      </c>
      <c r="P528" s="23">
        <f>Table2[[#This Row],[Sum of Old TB]]-Table2[[#This Row],[Sum of New TB]]</f>
        <v>0</v>
      </c>
    </row>
    <row r="529" customHeight="1" spans="2:16">
      <c r="B529" s="8" t="s">
        <v>696</v>
      </c>
      <c r="C529" s="9" t="s">
        <v>40</v>
      </c>
      <c r="D529" s="1">
        <v>-52992.31</v>
      </c>
      <c r="E529" s="9"/>
      <c r="G529" s="1" t="s">
        <v>670</v>
      </c>
      <c r="H529" s="1" t="s">
        <v>175</v>
      </c>
      <c r="I529" s="2">
        <v>8617.33</v>
      </c>
      <c r="J529" s="2">
        <v>8617.33</v>
      </c>
      <c r="L529" s="12" t="s">
        <v>673</v>
      </c>
      <c r="M529" s="9" t="s">
        <v>187</v>
      </c>
      <c r="N529" s="21">
        <v>314.91</v>
      </c>
      <c r="O529" s="22">
        <v>314.91</v>
      </c>
      <c r="P529" s="23">
        <f>Table2[[#This Row],[Sum of Old TB]]-Table2[[#This Row],[Sum of New TB]]</f>
        <v>0</v>
      </c>
    </row>
    <row r="530" customHeight="1" spans="2:16">
      <c r="B530" s="8" t="s">
        <v>697</v>
      </c>
      <c r="C530" s="9" t="s">
        <v>42</v>
      </c>
      <c r="D530" s="1">
        <v>-890.93</v>
      </c>
      <c r="E530" s="9"/>
      <c r="G530" s="1" t="s">
        <v>671</v>
      </c>
      <c r="H530" s="1" t="s">
        <v>177</v>
      </c>
      <c r="I530" s="2">
        <v>695</v>
      </c>
      <c r="J530" s="2">
        <v>695</v>
      </c>
      <c r="L530" s="12" t="s">
        <v>674</v>
      </c>
      <c r="M530" s="9" t="s">
        <v>417</v>
      </c>
      <c r="N530" s="21">
        <v>278.4</v>
      </c>
      <c r="O530" s="22">
        <v>278.4</v>
      </c>
      <c r="P530" s="23">
        <f>Table2[[#This Row],[Sum of Old TB]]-Table2[[#This Row],[Sum of New TB]]</f>
        <v>0</v>
      </c>
    </row>
    <row r="531" customHeight="1" spans="2:16">
      <c r="B531" s="8" t="s">
        <v>698</v>
      </c>
      <c r="C531" s="9" t="s">
        <v>69</v>
      </c>
      <c r="D531" s="1">
        <v>-377712.5</v>
      </c>
      <c r="E531" s="9"/>
      <c r="G531" s="1" t="s">
        <v>672</v>
      </c>
      <c r="H531" s="1" t="s">
        <v>185</v>
      </c>
      <c r="I531" s="2">
        <v>2184.16</v>
      </c>
      <c r="J531" s="2">
        <v>2184.16</v>
      </c>
      <c r="L531" s="12" t="s">
        <v>675</v>
      </c>
      <c r="M531" s="9" t="s">
        <v>197</v>
      </c>
      <c r="N531" s="21">
        <v>1174.47</v>
      </c>
      <c r="O531" s="22">
        <v>1174.47</v>
      </c>
      <c r="P531" s="23">
        <f>Table2[[#This Row],[Sum of Old TB]]-Table2[[#This Row],[Sum of New TB]]</f>
        <v>0</v>
      </c>
    </row>
    <row r="532" customHeight="1" spans="2:16">
      <c r="B532" s="8" t="s">
        <v>699</v>
      </c>
      <c r="C532" s="9" t="s">
        <v>107</v>
      </c>
      <c r="D532" s="1">
        <v>141693.95</v>
      </c>
      <c r="E532" s="9"/>
      <c r="G532" s="1" t="s">
        <v>673</v>
      </c>
      <c r="H532" s="1" t="s">
        <v>187</v>
      </c>
      <c r="I532" s="2">
        <v>314.91</v>
      </c>
      <c r="J532" s="2">
        <v>314.91</v>
      </c>
      <c r="L532" s="12" t="s">
        <v>676</v>
      </c>
      <c r="M532" s="9" t="s">
        <v>377</v>
      </c>
      <c r="N532" s="21">
        <v>158.64</v>
      </c>
      <c r="O532" s="22">
        <v>158.64</v>
      </c>
      <c r="P532" s="23">
        <f>Table2[[#This Row],[Sum of Old TB]]-Table2[[#This Row],[Sum of New TB]]</f>
        <v>0</v>
      </c>
    </row>
    <row r="533" customHeight="1" spans="2:16">
      <c r="B533" s="8" t="s">
        <v>700</v>
      </c>
      <c r="C533" s="9" t="s">
        <v>109</v>
      </c>
      <c r="D533" s="1">
        <v>11767.71</v>
      </c>
      <c r="E533" s="9"/>
      <c r="G533" s="1" t="s">
        <v>674</v>
      </c>
      <c r="H533" s="1" t="s">
        <v>417</v>
      </c>
      <c r="I533" s="2">
        <v>278.4</v>
      </c>
      <c r="J533" s="2">
        <v>278.4</v>
      </c>
      <c r="L533" s="12" t="s">
        <v>677</v>
      </c>
      <c r="M533" s="9" t="s">
        <v>275</v>
      </c>
      <c r="N533" s="21">
        <v>51236.26</v>
      </c>
      <c r="O533" s="22">
        <v>51236.26</v>
      </c>
      <c r="P533" s="23">
        <f>Table2[[#This Row],[Sum of Old TB]]-Table2[[#This Row],[Sum of New TB]]</f>
        <v>0</v>
      </c>
    </row>
    <row r="534" customHeight="1" spans="2:16">
      <c r="B534" s="8" t="s">
        <v>701</v>
      </c>
      <c r="C534" s="9" t="s">
        <v>111</v>
      </c>
      <c r="D534" s="1">
        <v>15156.13</v>
      </c>
      <c r="E534" s="9"/>
      <c r="G534" s="1" t="s">
        <v>675</v>
      </c>
      <c r="H534" s="1" t="s">
        <v>197</v>
      </c>
      <c r="I534" s="2">
        <v>1174.47</v>
      </c>
      <c r="J534" s="2">
        <v>1174.47</v>
      </c>
      <c r="L534" s="12" t="s">
        <v>678</v>
      </c>
      <c r="M534" s="9" t="s">
        <v>40</v>
      </c>
      <c r="N534" s="21">
        <v>-8.5</v>
      </c>
      <c r="O534" s="22">
        <v>-8.5</v>
      </c>
      <c r="P534" s="23">
        <f>Table2[[#This Row],[Sum of Old TB]]-Table2[[#This Row],[Sum of New TB]]</f>
        <v>0</v>
      </c>
    </row>
    <row r="535" customHeight="1" spans="2:16">
      <c r="B535" s="8" t="s">
        <v>702</v>
      </c>
      <c r="C535" s="9" t="s">
        <v>113</v>
      </c>
      <c r="D535" s="1">
        <v>600</v>
      </c>
      <c r="E535" s="9"/>
      <c r="G535" s="1" t="s">
        <v>676</v>
      </c>
      <c r="H535" s="1" t="s">
        <v>377</v>
      </c>
      <c r="I535" s="2">
        <v>158.64</v>
      </c>
      <c r="J535" s="2">
        <v>158.64</v>
      </c>
      <c r="L535" s="12" t="s">
        <v>679</v>
      </c>
      <c r="M535" s="9" t="s">
        <v>55</v>
      </c>
      <c r="N535" s="21">
        <v>8.5</v>
      </c>
      <c r="O535" s="22">
        <v>8.5</v>
      </c>
      <c r="P535" s="23">
        <f>Table2[[#This Row],[Sum of Old TB]]-Table2[[#This Row],[Sum of New TB]]</f>
        <v>0</v>
      </c>
    </row>
    <row r="536" customHeight="1" spans="2:16">
      <c r="B536" s="8" t="s">
        <v>703</v>
      </c>
      <c r="C536" s="9" t="s">
        <v>125</v>
      </c>
      <c r="D536" s="1">
        <v>210</v>
      </c>
      <c r="E536" s="9"/>
      <c r="G536" s="1" t="s">
        <v>677</v>
      </c>
      <c r="H536" s="1" t="s">
        <v>275</v>
      </c>
      <c r="I536" s="2">
        <v>51236.26</v>
      </c>
      <c r="J536" s="2">
        <v>51236.26</v>
      </c>
      <c r="L536" s="12" t="s">
        <v>680</v>
      </c>
      <c r="M536" s="9" t="s">
        <v>69</v>
      </c>
      <c r="N536" s="21">
        <v>-159616.74</v>
      </c>
      <c r="O536" s="22">
        <v>-159616.74</v>
      </c>
      <c r="P536" s="23">
        <f>Table2[[#This Row],[Sum of Old TB]]-Table2[[#This Row],[Sum of New TB]]</f>
        <v>0</v>
      </c>
    </row>
    <row r="537" customHeight="1" spans="2:16">
      <c r="B537" s="8" t="s">
        <v>704</v>
      </c>
      <c r="C537" s="9" t="s">
        <v>129</v>
      </c>
      <c r="D537" s="1">
        <v>4600.27</v>
      </c>
      <c r="E537" s="9"/>
      <c r="G537" s="1" t="s">
        <v>678</v>
      </c>
      <c r="H537" s="1" t="s">
        <v>40</v>
      </c>
      <c r="I537" s="2">
        <v>-8.5</v>
      </c>
      <c r="J537" s="2">
        <v>-8.5</v>
      </c>
      <c r="L537" s="12" t="s">
        <v>681</v>
      </c>
      <c r="M537" s="9" t="s">
        <v>107</v>
      </c>
      <c r="N537" s="21">
        <v>63012</v>
      </c>
      <c r="O537" s="22">
        <v>63012</v>
      </c>
      <c r="P537" s="23">
        <f>Table2[[#This Row],[Sum of Old TB]]-Table2[[#This Row],[Sum of New TB]]</f>
        <v>0</v>
      </c>
    </row>
    <row r="538" customHeight="1" spans="2:16">
      <c r="B538" s="8" t="s">
        <v>705</v>
      </c>
      <c r="C538" s="9" t="s">
        <v>131</v>
      </c>
      <c r="D538" s="1">
        <v>552</v>
      </c>
      <c r="E538" s="9"/>
      <c r="G538" s="1" t="s">
        <v>679</v>
      </c>
      <c r="H538" s="1" t="s">
        <v>55</v>
      </c>
      <c r="I538" s="2">
        <v>8.5</v>
      </c>
      <c r="J538" s="2">
        <v>8.5</v>
      </c>
      <c r="L538" s="12" t="s">
        <v>682</v>
      </c>
      <c r="M538" s="9" t="s">
        <v>109</v>
      </c>
      <c r="N538" s="21">
        <v>5338.42</v>
      </c>
      <c r="O538" s="22">
        <v>5338.42</v>
      </c>
      <c r="P538" s="23">
        <f>Table2[[#This Row],[Sum of Old TB]]-Table2[[#This Row],[Sum of New TB]]</f>
        <v>0</v>
      </c>
    </row>
    <row r="539" customHeight="1" spans="2:16">
      <c r="B539" s="8" t="s">
        <v>706</v>
      </c>
      <c r="C539" s="9" t="s">
        <v>137</v>
      </c>
      <c r="D539" s="1">
        <v>37.98</v>
      </c>
      <c r="E539" s="9"/>
      <c r="G539" s="1" t="s">
        <v>680</v>
      </c>
      <c r="H539" s="1" t="s">
        <v>69</v>
      </c>
      <c r="I539" s="2">
        <v>-159616.74</v>
      </c>
      <c r="J539" s="2">
        <v>-159616.74</v>
      </c>
      <c r="L539" s="12" t="s">
        <v>683</v>
      </c>
      <c r="M539" s="9" t="s">
        <v>111</v>
      </c>
      <c r="N539" s="21">
        <v>11439.91</v>
      </c>
      <c r="O539" s="22">
        <v>11439.91</v>
      </c>
      <c r="P539" s="23">
        <f>Table2[[#This Row],[Sum of Old TB]]-Table2[[#This Row],[Sum of New TB]]</f>
        <v>0</v>
      </c>
    </row>
    <row r="540" customHeight="1" spans="2:16">
      <c r="B540" s="8" t="s">
        <v>707</v>
      </c>
      <c r="C540" s="9" t="s">
        <v>141</v>
      </c>
      <c r="D540" s="1">
        <v>6014.64</v>
      </c>
      <c r="E540" s="9"/>
      <c r="G540" s="1" t="s">
        <v>681</v>
      </c>
      <c r="H540" s="1" t="s">
        <v>107</v>
      </c>
      <c r="I540" s="2">
        <v>63012</v>
      </c>
      <c r="J540" s="2">
        <v>63012</v>
      </c>
      <c r="L540" s="12" t="s">
        <v>684</v>
      </c>
      <c r="M540" s="9" t="s">
        <v>113</v>
      </c>
      <c r="N540" s="21">
        <v>215</v>
      </c>
      <c r="O540" s="22">
        <v>215</v>
      </c>
      <c r="P540" s="23">
        <f>Table2[[#This Row],[Sum of Old TB]]-Table2[[#This Row],[Sum of New TB]]</f>
        <v>0</v>
      </c>
    </row>
    <row r="541" customHeight="1" spans="2:16">
      <c r="B541" s="8" t="s">
        <v>708</v>
      </c>
      <c r="C541" s="9" t="s">
        <v>147</v>
      </c>
      <c r="D541" s="1">
        <v>115.75</v>
      </c>
      <c r="E541" s="9"/>
      <c r="G541" s="1" t="s">
        <v>682</v>
      </c>
      <c r="H541" s="1" t="s">
        <v>109</v>
      </c>
      <c r="I541" s="2">
        <v>5338.42</v>
      </c>
      <c r="J541" s="2">
        <v>5338.42</v>
      </c>
      <c r="L541" s="12" t="s">
        <v>685</v>
      </c>
      <c r="M541" s="9" t="s">
        <v>117</v>
      </c>
      <c r="N541" s="21">
        <v>1500</v>
      </c>
      <c r="O541" s="22">
        <v>1500</v>
      </c>
      <c r="P541" s="23">
        <f>Table2[[#This Row],[Sum of Old TB]]-Table2[[#This Row],[Sum of New TB]]</f>
        <v>0</v>
      </c>
    </row>
    <row r="542" customHeight="1" spans="2:16">
      <c r="B542" s="8" t="s">
        <v>709</v>
      </c>
      <c r="C542" s="9" t="s">
        <v>153</v>
      </c>
      <c r="D542" s="1">
        <v>17616.08</v>
      </c>
      <c r="E542" s="9"/>
      <c r="G542" s="1" t="s">
        <v>683</v>
      </c>
      <c r="H542" s="1" t="s">
        <v>111</v>
      </c>
      <c r="I542" s="2">
        <v>11439.91</v>
      </c>
      <c r="J542" s="2">
        <v>11439.91</v>
      </c>
      <c r="L542" s="12" t="s">
        <v>686</v>
      </c>
      <c r="M542" s="9" t="s">
        <v>121</v>
      </c>
      <c r="N542" s="21">
        <v>400</v>
      </c>
      <c r="O542" s="22">
        <v>400</v>
      </c>
      <c r="P542" s="23">
        <f>Table2[[#This Row],[Sum of Old TB]]-Table2[[#This Row],[Sum of New TB]]</f>
        <v>0</v>
      </c>
    </row>
    <row r="543" customHeight="1" spans="2:16">
      <c r="B543" s="8" t="s">
        <v>710</v>
      </c>
      <c r="C543" s="9" t="s">
        <v>165</v>
      </c>
      <c r="D543" s="1">
        <v>4729.3</v>
      </c>
      <c r="E543" s="9"/>
      <c r="G543" s="1" t="s">
        <v>684</v>
      </c>
      <c r="H543" s="1" t="s">
        <v>113</v>
      </c>
      <c r="I543" s="2">
        <v>215</v>
      </c>
      <c r="J543" s="2">
        <v>215</v>
      </c>
      <c r="L543" s="12" t="s">
        <v>687</v>
      </c>
      <c r="M543" s="9" t="s">
        <v>129</v>
      </c>
      <c r="N543" s="21">
        <v>5750.62</v>
      </c>
      <c r="O543" s="22">
        <v>5750.62</v>
      </c>
      <c r="P543" s="23">
        <f>Table2[[#This Row],[Sum of Old TB]]-Table2[[#This Row],[Sum of New TB]]</f>
        <v>0</v>
      </c>
    </row>
    <row r="544" customHeight="1" spans="2:16">
      <c r="B544" s="8" t="s">
        <v>711</v>
      </c>
      <c r="C544" s="9" t="s">
        <v>469</v>
      </c>
      <c r="D544" s="1">
        <v>262.5</v>
      </c>
      <c r="E544" s="9"/>
      <c r="G544" s="1" t="s">
        <v>685</v>
      </c>
      <c r="H544" s="1" t="s">
        <v>117</v>
      </c>
      <c r="I544" s="2">
        <v>1500</v>
      </c>
      <c r="J544" s="2">
        <v>1500</v>
      </c>
      <c r="L544" s="12" t="s">
        <v>688</v>
      </c>
      <c r="M544" s="9" t="s">
        <v>133</v>
      </c>
      <c r="N544" s="21">
        <v>6473.32</v>
      </c>
      <c r="O544" s="22">
        <v>6473.32</v>
      </c>
      <c r="P544" s="23">
        <f>Table2[[#This Row],[Sum of Old TB]]-Table2[[#This Row],[Sum of New TB]]</f>
        <v>0</v>
      </c>
    </row>
    <row r="545" customHeight="1" spans="2:16">
      <c r="B545" s="8" t="s">
        <v>712</v>
      </c>
      <c r="C545" s="9" t="s">
        <v>175</v>
      </c>
      <c r="D545" s="1">
        <v>22269.16</v>
      </c>
      <c r="E545" s="9"/>
      <c r="G545" s="1" t="s">
        <v>686</v>
      </c>
      <c r="H545" s="1" t="s">
        <v>121</v>
      </c>
      <c r="I545" s="2">
        <v>400</v>
      </c>
      <c r="J545" s="2">
        <v>400</v>
      </c>
      <c r="L545" s="12" t="s">
        <v>689</v>
      </c>
      <c r="M545" s="9" t="s">
        <v>143</v>
      </c>
      <c r="N545" s="21">
        <v>49040.06</v>
      </c>
      <c r="O545" s="22">
        <v>49040.06</v>
      </c>
      <c r="P545" s="23">
        <f>Table2[[#This Row],[Sum of Old TB]]-Table2[[#This Row],[Sum of New TB]]</f>
        <v>0</v>
      </c>
    </row>
    <row r="546" customHeight="1" spans="2:16">
      <c r="B546" s="8" t="s">
        <v>713</v>
      </c>
      <c r="C546" s="9" t="s">
        <v>177</v>
      </c>
      <c r="D546" s="1">
        <v>4540.55</v>
      </c>
      <c r="E546" s="9"/>
      <c r="G546" s="1" t="s">
        <v>687</v>
      </c>
      <c r="H546" s="1" t="s">
        <v>129</v>
      </c>
      <c r="I546" s="2">
        <v>5750.62</v>
      </c>
      <c r="J546" s="2">
        <v>5750.62</v>
      </c>
      <c r="L546" s="12" t="s">
        <v>690</v>
      </c>
      <c r="M546" s="9" t="s">
        <v>153</v>
      </c>
      <c r="N546" s="21">
        <v>2330.57</v>
      </c>
      <c r="O546" s="22">
        <v>2330.57</v>
      </c>
      <c r="P546" s="23">
        <f>Table2[[#This Row],[Sum of Old TB]]-Table2[[#This Row],[Sum of New TB]]</f>
        <v>0</v>
      </c>
    </row>
    <row r="547" customHeight="1" spans="2:16">
      <c r="B547" s="8" t="s">
        <v>714</v>
      </c>
      <c r="C547" s="9" t="s">
        <v>179</v>
      </c>
      <c r="D547" s="1">
        <v>480.59</v>
      </c>
      <c r="E547" s="9"/>
      <c r="G547" s="1" t="s">
        <v>688</v>
      </c>
      <c r="H547" s="1" t="s">
        <v>133</v>
      </c>
      <c r="I547" s="2">
        <v>6473.32</v>
      </c>
      <c r="J547" s="2">
        <v>6473.32</v>
      </c>
      <c r="L547" s="12" t="s">
        <v>691</v>
      </c>
      <c r="M547" s="9" t="s">
        <v>249</v>
      </c>
      <c r="N547" s="21">
        <v>231.88</v>
      </c>
      <c r="O547" s="22">
        <v>231.88</v>
      </c>
      <c r="P547" s="23">
        <f>Table2[[#This Row],[Sum of Old TB]]-Table2[[#This Row],[Sum of New TB]]</f>
        <v>0</v>
      </c>
    </row>
    <row r="548" customHeight="1" spans="2:16">
      <c r="B548" s="8" t="s">
        <v>715</v>
      </c>
      <c r="C548" s="9" t="s">
        <v>185</v>
      </c>
      <c r="D548" s="1">
        <v>21.67</v>
      </c>
      <c r="E548" s="9"/>
      <c r="G548" s="1" t="s">
        <v>689</v>
      </c>
      <c r="H548" s="1" t="s">
        <v>143</v>
      </c>
      <c r="I548" s="2">
        <v>49040.06</v>
      </c>
      <c r="J548" s="2">
        <v>49040.06</v>
      </c>
      <c r="L548" s="12" t="s">
        <v>692</v>
      </c>
      <c r="M548" s="9" t="s">
        <v>161</v>
      </c>
      <c r="N548" s="21">
        <v>8887.8</v>
      </c>
      <c r="O548" s="22">
        <v>8887.8</v>
      </c>
      <c r="P548" s="23">
        <f>Table2[[#This Row],[Sum of Old TB]]-Table2[[#This Row],[Sum of New TB]]</f>
        <v>0</v>
      </c>
    </row>
    <row r="549" customHeight="1" spans="2:16">
      <c r="B549" s="8" t="s">
        <v>716</v>
      </c>
      <c r="C549" s="9" t="s">
        <v>197</v>
      </c>
      <c r="D549" s="1">
        <v>94693.51</v>
      </c>
      <c r="E549" s="9"/>
      <c r="G549" s="1" t="s">
        <v>690</v>
      </c>
      <c r="H549" s="1" t="s">
        <v>153</v>
      </c>
      <c r="I549" s="2">
        <v>2330.57</v>
      </c>
      <c r="J549" s="2">
        <v>2330.57</v>
      </c>
      <c r="L549" s="12" t="s">
        <v>693</v>
      </c>
      <c r="M549" s="9" t="s">
        <v>177</v>
      </c>
      <c r="N549" s="21">
        <v>1848.35</v>
      </c>
      <c r="O549" s="22">
        <v>1848.35</v>
      </c>
      <c r="P549" s="23">
        <f>Table2[[#This Row],[Sum of Old TB]]-Table2[[#This Row],[Sum of New TB]]</f>
        <v>0</v>
      </c>
    </row>
    <row r="550" customHeight="1" spans="2:16">
      <c r="B550" s="8" t="s">
        <v>717</v>
      </c>
      <c r="C550" s="9" t="s">
        <v>275</v>
      </c>
      <c r="D550" s="1">
        <v>52350.71</v>
      </c>
      <c r="E550" s="9"/>
      <c r="G550" s="1" t="s">
        <v>691</v>
      </c>
      <c r="H550" s="1" t="s">
        <v>249</v>
      </c>
      <c r="I550" s="2">
        <v>231.88</v>
      </c>
      <c r="J550" s="2">
        <v>231.88</v>
      </c>
      <c r="L550" s="12" t="s">
        <v>694</v>
      </c>
      <c r="M550" s="9" t="s">
        <v>275</v>
      </c>
      <c r="N550" s="21">
        <v>3148.81</v>
      </c>
      <c r="O550" s="22">
        <v>3148.81</v>
      </c>
      <c r="P550" s="23">
        <f>Table2[[#This Row],[Sum of Old TB]]-Table2[[#This Row],[Sum of New TB]]</f>
        <v>0</v>
      </c>
    </row>
    <row r="551" customHeight="1" spans="2:16">
      <c r="B551" s="8" t="s">
        <v>718</v>
      </c>
      <c r="C551" s="9" t="s">
        <v>277</v>
      </c>
      <c r="D551" s="1">
        <v>7667.88</v>
      </c>
      <c r="E551" s="9"/>
      <c r="G551" s="1" t="s">
        <v>692</v>
      </c>
      <c r="H551" s="1" t="s">
        <v>161</v>
      </c>
      <c r="I551" s="2">
        <v>8887.8</v>
      </c>
      <c r="J551" s="2">
        <v>8887.8</v>
      </c>
      <c r="L551" s="12" t="s">
        <v>695</v>
      </c>
      <c r="M551" s="9" t="s">
        <v>277</v>
      </c>
      <c r="N551" s="21">
        <v>53883.24</v>
      </c>
      <c r="O551" s="22">
        <v>53883.24</v>
      </c>
      <c r="P551" s="23">
        <f>Table2[[#This Row],[Sum of Old TB]]-Table2[[#This Row],[Sum of New TB]]</f>
        <v>0</v>
      </c>
    </row>
    <row r="552" customHeight="1" spans="2:16">
      <c r="B552" s="8" t="s">
        <v>719</v>
      </c>
      <c r="C552" s="9" t="s">
        <v>40</v>
      </c>
      <c r="D552" s="1">
        <v>-6181.97</v>
      </c>
      <c r="E552" s="9"/>
      <c r="G552" s="1" t="s">
        <v>693</v>
      </c>
      <c r="H552" s="1" t="s">
        <v>177</v>
      </c>
      <c r="I552" s="2">
        <v>1848.35</v>
      </c>
      <c r="J552" s="2">
        <v>1848.35</v>
      </c>
      <c r="L552" s="12" t="s">
        <v>696</v>
      </c>
      <c r="M552" s="9" t="s">
        <v>40</v>
      </c>
      <c r="N552" s="21">
        <v>-52992.31</v>
      </c>
      <c r="O552" s="22">
        <v>-52992.31</v>
      </c>
      <c r="P552" s="23">
        <f>Table2[[#This Row],[Sum of Old TB]]-Table2[[#This Row],[Sum of New TB]]</f>
        <v>0</v>
      </c>
    </row>
    <row r="553" customHeight="1" spans="2:16">
      <c r="B553" s="8" t="s">
        <v>720</v>
      </c>
      <c r="C553" s="9" t="s">
        <v>42</v>
      </c>
      <c r="D553" s="1">
        <v>-1485.91</v>
      </c>
      <c r="E553" s="9"/>
      <c r="G553" s="1" t="s">
        <v>694</v>
      </c>
      <c r="H553" s="1" t="s">
        <v>275</v>
      </c>
      <c r="I553" s="2">
        <v>3148.81</v>
      </c>
      <c r="J553" s="2">
        <v>3148.81</v>
      </c>
      <c r="L553" s="12" t="s">
        <v>697</v>
      </c>
      <c r="M553" s="9" t="s">
        <v>42</v>
      </c>
      <c r="N553" s="21">
        <v>-890.93</v>
      </c>
      <c r="O553" s="22">
        <v>-890.93</v>
      </c>
      <c r="P553" s="23">
        <f>Table2[[#This Row],[Sum of Old TB]]-Table2[[#This Row],[Sum of New TB]]</f>
        <v>0</v>
      </c>
    </row>
    <row r="554" customHeight="1" spans="2:16">
      <c r="B554" s="8" t="s">
        <v>721</v>
      </c>
      <c r="C554" s="9" t="s">
        <v>69</v>
      </c>
      <c r="D554" s="1">
        <v>-233039.55</v>
      </c>
      <c r="E554" s="9"/>
      <c r="G554" s="1" t="s">
        <v>695</v>
      </c>
      <c r="H554" s="1" t="s">
        <v>277</v>
      </c>
      <c r="I554" s="2">
        <v>53883.24</v>
      </c>
      <c r="J554" s="2">
        <v>53883.24</v>
      </c>
      <c r="L554" s="12" t="s">
        <v>698</v>
      </c>
      <c r="M554" s="9" t="s">
        <v>69</v>
      </c>
      <c r="N554" s="21">
        <v>-377712.5</v>
      </c>
      <c r="O554" s="22">
        <v>-377712.5</v>
      </c>
      <c r="P554" s="23">
        <f>Table2[[#This Row],[Sum of Old TB]]-Table2[[#This Row],[Sum of New TB]]</f>
        <v>0</v>
      </c>
    </row>
    <row r="555" customHeight="1" spans="2:16">
      <c r="B555" s="8" t="s">
        <v>722</v>
      </c>
      <c r="C555" s="9" t="s">
        <v>107</v>
      </c>
      <c r="D555" s="1">
        <v>120103.21</v>
      </c>
      <c r="E555" s="9"/>
      <c r="G555" s="1" t="s">
        <v>696</v>
      </c>
      <c r="H555" s="1" t="s">
        <v>40</v>
      </c>
      <c r="I555" s="2">
        <v>-52992.31</v>
      </c>
      <c r="J555" s="2">
        <v>-52992.31</v>
      </c>
      <c r="L555" s="12" t="s">
        <v>699</v>
      </c>
      <c r="M555" s="9" t="s">
        <v>107</v>
      </c>
      <c r="N555" s="21">
        <v>141693.95</v>
      </c>
      <c r="O555" s="22">
        <v>141693.95</v>
      </c>
      <c r="P555" s="23">
        <f>Table2[[#This Row],[Sum of Old TB]]-Table2[[#This Row],[Sum of New TB]]</f>
        <v>0</v>
      </c>
    </row>
    <row r="556" customHeight="1" spans="2:16">
      <c r="B556" s="8" t="s">
        <v>723</v>
      </c>
      <c r="C556" s="9" t="s">
        <v>109</v>
      </c>
      <c r="D556" s="1">
        <v>10136.01</v>
      </c>
      <c r="E556" s="9"/>
      <c r="G556" s="1" t="s">
        <v>697</v>
      </c>
      <c r="H556" s="1" t="s">
        <v>42</v>
      </c>
      <c r="I556" s="2">
        <v>-890.93</v>
      </c>
      <c r="J556" s="2">
        <v>-890.93</v>
      </c>
      <c r="L556" s="12" t="s">
        <v>700</v>
      </c>
      <c r="M556" s="9" t="s">
        <v>109</v>
      </c>
      <c r="N556" s="21">
        <v>11767.71</v>
      </c>
      <c r="O556" s="22">
        <v>11767.71</v>
      </c>
      <c r="P556" s="23">
        <f>Table2[[#This Row],[Sum of Old TB]]-Table2[[#This Row],[Sum of New TB]]</f>
        <v>0</v>
      </c>
    </row>
    <row r="557" customHeight="1" spans="2:16">
      <c r="B557" s="8" t="s">
        <v>724</v>
      </c>
      <c r="C557" s="9" t="s">
        <v>111</v>
      </c>
      <c r="D557" s="1">
        <v>11350.42</v>
      </c>
      <c r="E557" s="9"/>
      <c r="G557" s="1" t="s">
        <v>698</v>
      </c>
      <c r="H557" s="1" t="s">
        <v>69</v>
      </c>
      <c r="I557" s="2">
        <v>-377712.5</v>
      </c>
      <c r="J557" s="2">
        <v>-377712.5</v>
      </c>
      <c r="L557" s="12" t="s">
        <v>701</v>
      </c>
      <c r="M557" s="9" t="s">
        <v>111</v>
      </c>
      <c r="N557" s="21">
        <v>15156.13</v>
      </c>
      <c r="O557" s="22">
        <v>15156.13</v>
      </c>
      <c r="P557" s="23">
        <f>Table2[[#This Row],[Sum of Old TB]]-Table2[[#This Row],[Sum of New TB]]</f>
        <v>0</v>
      </c>
    </row>
    <row r="558" customHeight="1" spans="2:16">
      <c r="B558" s="8" t="s">
        <v>725</v>
      </c>
      <c r="C558" s="9" t="s">
        <v>117</v>
      </c>
      <c r="D558" s="1">
        <v>9800</v>
      </c>
      <c r="E558" s="9"/>
      <c r="G558" s="1" t="s">
        <v>699</v>
      </c>
      <c r="H558" s="1" t="s">
        <v>107</v>
      </c>
      <c r="I558" s="2">
        <v>141693.95</v>
      </c>
      <c r="J558" s="2">
        <v>141693.95</v>
      </c>
      <c r="L558" s="12" t="s">
        <v>702</v>
      </c>
      <c r="M558" s="9" t="s">
        <v>113</v>
      </c>
      <c r="N558" s="21">
        <v>600</v>
      </c>
      <c r="O558" s="22">
        <v>600</v>
      </c>
      <c r="P558" s="23">
        <f>Table2[[#This Row],[Sum of Old TB]]-Table2[[#This Row],[Sum of New TB]]</f>
        <v>0</v>
      </c>
    </row>
    <row r="559" customHeight="1" spans="2:16">
      <c r="B559" s="8" t="s">
        <v>726</v>
      </c>
      <c r="C559" s="9" t="s">
        <v>129</v>
      </c>
      <c r="D559" s="1">
        <v>4097.54</v>
      </c>
      <c r="E559" s="9"/>
      <c r="G559" s="1" t="s">
        <v>700</v>
      </c>
      <c r="H559" s="1" t="s">
        <v>109</v>
      </c>
      <c r="I559" s="2">
        <v>11767.71</v>
      </c>
      <c r="J559" s="2">
        <v>11767.71</v>
      </c>
      <c r="L559" s="12" t="s">
        <v>703</v>
      </c>
      <c r="M559" s="9" t="s">
        <v>125</v>
      </c>
      <c r="N559" s="21">
        <v>210</v>
      </c>
      <c r="O559" s="22">
        <v>210</v>
      </c>
      <c r="P559" s="23">
        <f>Table2[[#This Row],[Sum of Old TB]]-Table2[[#This Row],[Sum of New TB]]</f>
        <v>0</v>
      </c>
    </row>
    <row r="560" customHeight="1" spans="2:16">
      <c r="B560" s="8" t="s">
        <v>727</v>
      </c>
      <c r="C560" s="9" t="s">
        <v>131</v>
      </c>
      <c r="D560" s="1">
        <v>1581.33</v>
      </c>
      <c r="E560" s="9"/>
      <c r="G560" s="1" t="s">
        <v>701</v>
      </c>
      <c r="H560" s="1" t="s">
        <v>111</v>
      </c>
      <c r="I560" s="2">
        <v>15156.13</v>
      </c>
      <c r="J560" s="2">
        <v>15156.13</v>
      </c>
      <c r="L560" s="12" t="s">
        <v>704</v>
      </c>
      <c r="M560" s="9" t="s">
        <v>129</v>
      </c>
      <c r="N560" s="21">
        <v>4600.27</v>
      </c>
      <c r="O560" s="22">
        <v>4600.27</v>
      </c>
      <c r="P560" s="23">
        <f>Table2[[#This Row],[Sum of Old TB]]-Table2[[#This Row],[Sum of New TB]]</f>
        <v>0</v>
      </c>
    </row>
    <row r="561" customHeight="1" spans="2:16">
      <c r="B561" s="8" t="s">
        <v>728</v>
      </c>
      <c r="C561" s="9" t="s">
        <v>139</v>
      </c>
      <c r="D561" s="1">
        <v>154.8</v>
      </c>
      <c r="E561" s="9"/>
      <c r="G561" s="1" t="s">
        <v>702</v>
      </c>
      <c r="H561" s="1" t="s">
        <v>113</v>
      </c>
      <c r="I561" s="2">
        <v>600</v>
      </c>
      <c r="J561" s="2">
        <v>600</v>
      </c>
      <c r="L561" s="12" t="s">
        <v>705</v>
      </c>
      <c r="M561" s="9" t="s">
        <v>131</v>
      </c>
      <c r="N561" s="21">
        <v>552</v>
      </c>
      <c r="O561" s="22">
        <v>552</v>
      </c>
      <c r="P561" s="23">
        <f>Table2[[#This Row],[Sum of Old TB]]-Table2[[#This Row],[Sum of New TB]]</f>
        <v>0</v>
      </c>
    </row>
    <row r="562" customHeight="1" spans="2:16">
      <c r="B562" s="8" t="s">
        <v>729</v>
      </c>
      <c r="C562" s="9" t="s">
        <v>147</v>
      </c>
      <c r="D562" s="1">
        <v>810.99</v>
      </c>
      <c r="E562" s="9"/>
      <c r="G562" s="1" t="s">
        <v>703</v>
      </c>
      <c r="H562" s="1" t="s">
        <v>125</v>
      </c>
      <c r="I562" s="2">
        <v>210</v>
      </c>
      <c r="J562" s="2">
        <v>210</v>
      </c>
      <c r="L562" s="12" t="s">
        <v>706</v>
      </c>
      <c r="M562" s="9" t="s">
        <v>137</v>
      </c>
      <c r="N562" s="21">
        <v>37.98</v>
      </c>
      <c r="O562" s="22">
        <v>37.98</v>
      </c>
      <c r="P562" s="23">
        <f>Table2[[#This Row],[Sum of Old TB]]-Table2[[#This Row],[Sum of New TB]]</f>
        <v>0</v>
      </c>
    </row>
    <row r="563" customHeight="1" spans="2:16">
      <c r="B563" s="8" t="s">
        <v>730</v>
      </c>
      <c r="C563" s="9" t="s">
        <v>153</v>
      </c>
      <c r="D563" s="1">
        <v>2161.38</v>
      </c>
      <c r="E563" s="9"/>
      <c r="G563" s="1" t="s">
        <v>704</v>
      </c>
      <c r="H563" s="1" t="s">
        <v>129</v>
      </c>
      <c r="I563" s="2">
        <v>4600.27</v>
      </c>
      <c r="J563" s="2">
        <v>4600.27</v>
      </c>
      <c r="L563" s="12" t="s">
        <v>707</v>
      </c>
      <c r="M563" s="9" t="s">
        <v>141</v>
      </c>
      <c r="N563" s="21">
        <v>6014.64</v>
      </c>
      <c r="O563" s="22">
        <v>6014.64</v>
      </c>
      <c r="P563" s="23">
        <f>Table2[[#This Row],[Sum of Old TB]]-Table2[[#This Row],[Sum of New TB]]</f>
        <v>0</v>
      </c>
    </row>
    <row r="564" customHeight="1" spans="2:16">
      <c r="B564" s="8" t="s">
        <v>731</v>
      </c>
      <c r="C564" s="9" t="s">
        <v>469</v>
      </c>
      <c r="D564" s="1">
        <v>262.5</v>
      </c>
      <c r="E564" s="9"/>
      <c r="G564" s="1" t="s">
        <v>705</v>
      </c>
      <c r="H564" s="1" t="s">
        <v>131</v>
      </c>
      <c r="I564" s="2">
        <v>552</v>
      </c>
      <c r="J564" s="2">
        <v>552</v>
      </c>
      <c r="L564" s="12" t="s">
        <v>708</v>
      </c>
      <c r="M564" s="9" t="s">
        <v>147</v>
      </c>
      <c r="N564" s="21">
        <v>115.75</v>
      </c>
      <c r="O564" s="22">
        <v>115.75</v>
      </c>
      <c r="P564" s="23">
        <f>Table2[[#This Row],[Sum of Old TB]]-Table2[[#This Row],[Sum of New TB]]</f>
        <v>0</v>
      </c>
    </row>
    <row r="565" customHeight="1" spans="2:16">
      <c r="B565" s="8" t="s">
        <v>732</v>
      </c>
      <c r="C565" s="9" t="s">
        <v>175</v>
      </c>
      <c r="D565" s="1">
        <v>11363.65</v>
      </c>
      <c r="E565" s="9"/>
      <c r="G565" s="1" t="s">
        <v>706</v>
      </c>
      <c r="H565" s="1" t="s">
        <v>137</v>
      </c>
      <c r="I565" s="2">
        <v>37.98</v>
      </c>
      <c r="J565" s="2">
        <v>37.98</v>
      </c>
      <c r="L565" s="12" t="s">
        <v>709</v>
      </c>
      <c r="M565" s="9" t="s">
        <v>153</v>
      </c>
      <c r="N565" s="21">
        <v>17616.08</v>
      </c>
      <c r="O565" s="22">
        <v>17616.08</v>
      </c>
      <c r="P565" s="23">
        <f>Table2[[#This Row],[Sum of Old TB]]-Table2[[#This Row],[Sum of New TB]]</f>
        <v>0</v>
      </c>
    </row>
    <row r="566" customHeight="1" spans="2:16">
      <c r="B566" s="8" t="s">
        <v>733</v>
      </c>
      <c r="C566" s="9" t="s">
        <v>177</v>
      </c>
      <c r="D566" s="1">
        <v>6872.99</v>
      </c>
      <c r="E566" s="9"/>
      <c r="G566" s="1" t="s">
        <v>707</v>
      </c>
      <c r="H566" s="1" t="s">
        <v>141</v>
      </c>
      <c r="I566" s="2">
        <v>6014.64</v>
      </c>
      <c r="J566" s="2">
        <v>6014.64</v>
      </c>
      <c r="L566" s="12" t="s">
        <v>710</v>
      </c>
      <c r="M566" s="9" t="s">
        <v>165</v>
      </c>
      <c r="N566" s="21">
        <v>4729.3</v>
      </c>
      <c r="O566" s="22">
        <v>4729.3</v>
      </c>
      <c r="P566" s="23">
        <f>Table2[[#This Row],[Sum of Old TB]]-Table2[[#This Row],[Sum of New TB]]</f>
        <v>0</v>
      </c>
    </row>
    <row r="567" customHeight="1" spans="2:16">
      <c r="B567" s="8" t="s">
        <v>734</v>
      </c>
      <c r="C567" s="9" t="s">
        <v>179</v>
      </c>
      <c r="D567" s="1">
        <v>458.15</v>
      </c>
      <c r="E567" s="9"/>
      <c r="G567" s="1" t="s">
        <v>708</v>
      </c>
      <c r="H567" s="1" t="s">
        <v>147</v>
      </c>
      <c r="I567" s="2">
        <v>115.75</v>
      </c>
      <c r="J567" s="2">
        <v>115.75</v>
      </c>
      <c r="L567" s="12" t="s">
        <v>711</v>
      </c>
      <c r="M567" s="9" t="s">
        <v>469</v>
      </c>
      <c r="N567" s="21">
        <v>262.5</v>
      </c>
      <c r="O567" s="22">
        <v>262.5</v>
      </c>
      <c r="P567" s="23">
        <f>Table2[[#This Row],[Sum of Old TB]]-Table2[[#This Row],[Sum of New TB]]</f>
        <v>0</v>
      </c>
    </row>
    <row r="568" customHeight="1" spans="2:16">
      <c r="B568" s="8" t="s">
        <v>735</v>
      </c>
      <c r="C568" s="9" t="s">
        <v>185</v>
      </c>
      <c r="D568" s="1">
        <v>678.09</v>
      </c>
      <c r="E568" s="9"/>
      <c r="G568" s="1" t="s">
        <v>709</v>
      </c>
      <c r="H568" s="1" t="s">
        <v>153</v>
      </c>
      <c r="I568" s="2">
        <v>17616.08</v>
      </c>
      <c r="J568" s="2">
        <v>17616.08</v>
      </c>
      <c r="L568" s="12" t="s">
        <v>712</v>
      </c>
      <c r="M568" s="9" t="s">
        <v>175</v>
      </c>
      <c r="N568" s="21">
        <v>22269.16</v>
      </c>
      <c r="O568" s="22">
        <v>22269.16</v>
      </c>
      <c r="P568" s="23">
        <f>Table2[[#This Row],[Sum of Old TB]]-Table2[[#This Row],[Sum of New TB]]</f>
        <v>0</v>
      </c>
    </row>
    <row r="569" customHeight="1" spans="2:16">
      <c r="B569" s="8" t="s">
        <v>736</v>
      </c>
      <c r="C569" s="9" t="s">
        <v>189</v>
      </c>
      <c r="D569" s="1">
        <v>1400</v>
      </c>
      <c r="E569" s="9"/>
      <c r="G569" s="1" t="s">
        <v>710</v>
      </c>
      <c r="H569" s="1" t="s">
        <v>165</v>
      </c>
      <c r="I569" s="2">
        <v>4729.3</v>
      </c>
      <c r="J569" s="2">
        <v>4729.3</v>
      </c>
      <c r="L569" s="12" t="s">
        <v>713</v>
      </c>
      <c r="M569" s="9" t="s">
        <v>177</v>
      </c>
      <c r="N569" s="21">
        <v>4540.55</v>
      </c>
      <c r="O569" s="22">
        <v>4540.55</v>
      </c>
      <c r="P569" s="23">
        <f>Table2[[#This Row],[Sum of Old TB]]-Table2[[#This Row],[Sum of New TB]]</f>
        <v>0</v>
      </c>
    </row>
    <row r="570" customHeight="1" spans="2:16">
      <c r="B570" s="8" t="s">
        <v>737</v>
      </c>
      <c r="C570" s="9" t="s">
        <v>197</v>
      </c>
      <c r="D570" s="1">
        <v>19509.36</v>
      </c>
      <c r="E570" s="9"/>
      <c r="G570" s="1" t="s">
        <v>711</v>
      </c>
      <c r="H570" s="1" t="s">
        <v>469</v>
      </c>
      <c r="I570" s="2">
        <v>262.5</v>
      </c>
      <c r="J570" s="2">
        <v>262.5</v>
      </c>
      <c r="L570" s="12" t="s">
        <v>714</v>
      </c>
      <c r="M570" s="9" t="s">
        <v>179</v>
      </c>
      <c r="N570" s="21">
        <v>480.59</v>
      </c>
      <c r="O570" s="22">
        <v>480.59</v>
      </c>
      <c r="P570" s="23">
        <f>Table2[[#This Row],[Sum of Old TB]]-Table2[[#This Row],[Sum of New TB]]</f>
        <v>0</v>
      </c>
    </row>
    <row r="571" customHeight="1" spans="2:16">
      <c r="B571" s="8" t="s">
        <v>738</v>
      </c>
      <c r="C571" s="9" t="s">
        <v>275</v>
      </c>
      <c r="D571" s="1">
        <v>32299.13</v>
      </c>
      <c r="E571" s="9"/>
      <c r="G571" s="1" t="s">
        <v>712</v>
      </c>
      <c r="H571" s="1" t="s">
        <v>175</v>
      </c>
      <c r="I571" s="2">
        <v>22269.16</v>
      </c>
      <c r="J571" s="2">
        <v>22269.16</v>
      </c>
      <c r="L571" s="12" t="s">
        <v>715</v>
      </c>
      <c r="M571" s="9" t="s">
        <v>185</v>
      </c>
      <c r="N571" s="21">
        <v>21.67</v>
      </c>
      <c r="O571" s="22">
        <v>21.67</v>
      </c>
      <c r="P571" s="23">
        <f>Table2[[#This Row],[Sum of Old TB]]-Table2[[#This Row],[Sum of New TB]]</f>
        <v>0</v>
      </c>
    </row>
    <row r="572" customHeight="1" spans="2:16">
      <c r="B572" s="8" t="s">
        <v>739</v>
      </c>
      <c r="C572" s="9" t="s">
        <v>277</v>
      </c>
      <c r="D572" s="1">
        <v>4643.52</v>
      </c>
      <c r="E572" s="9"/>
      <c r="G572" s="1" t="s">
        <v>713</v>
      </c>
      <c r="H572" s="1" t="s">
        <v>177</v>
      </c>
      <c r="I572" s="2">
        <v>4540.55</v>
      </c>
      <c r="J572" s="2">
        <v>4540.55</v>
      </c>
      <c r="L572" s="12" t="s">
        <v>716</v>
      </c>
      <c r="M572" s="9" t="s">
        <v>197</v>
      </c>
      <c r="N572" s="21">
        <v>94693.51</v>
      </c>
      <c r="O572" s="22">
        <v>94693.51</v>
      </c>
      <c r="P572" s="23">
        <f>Table2[[#This Row],[Sum of Old TB]]-Table2[[#This Row],[Sum of New TB]]</f>
        <v>0</v>
      </c>
    </row>
    <row r="573" customHeight="1" spans="2:16">
      <c r="B573" s="8" t="s">
        <v>740</v>
      </c>
      <c r="C573" s="9" t="s">
        <v>40</v>
      </c>
      <c r="D573" s="1">
        <v>-4643.52</v>
      </c>
      <c r="E573" s="9"/>
      <c r="G573" s="1" t="s">
        <v>714</v>
      </c>
      <c r="H573" s="1" t="s">
        <v>179</v>
      </c>
      <c r="I573" s="2">
        <v>480.59</v>
      </c>
      <c r="J573" s="2">
        <v>480.59</v>
      </c>
      <c r="L573" s="12" t="s">
        <v>717</v>
      </c>
      <c r="M573" s="9" t="s">
        <v>275</v>
      </c>
      <c r="N573" s="21">
        <v>52350.71</v>
      </c>
      <c r="O573" s="22">
        <v>52350.71</v>
      </c>
      <c r="P573" s="23">
        <f>Table2[[#This Row],[Sum of Old TB]]-Table2[[#This Row],[Sum of New TB]]</f>
        <v>0</v>
      </c>
    </row>
    <row r="574" customHeight="1" spans="2:16">
      <c r="B574" s="8" t="s">
        <v>741</v>
      </c>
      <c r="C574" s="9" t="s">
        <v>69</v>
      </c>
      <c r="D574" s="1">
        <v>-136130.85</v>
      </c>
      <c r="E574" s="9"/>
      <c r="G574" s="1" t="s">
        <v>715</v>
      </c>
      <c r="H574" s="1" t="s">
        <v>185</v>
      </c>
      <c r="I574" s="2">
        <v>21.67</v>
      </c>
      <c r="J574" s="2">
        <v>21.67</v>
      </c>
      <c r="L574" s="12" t="s">
        <v>718</v>
      </c>
      <c r="M574" s="9" t="s">
        <v>277</v>
      </c>
      <c r="N574" s="21">
        <v>7667.88</v>
      </c>
      <c r="O574" s="22">
        <v>7667.88</v>
      </c>
      <c r="P574" s="23">
        <f>Table2[[#This Row],[Sum of Old TB]]-Table2[[#This Row],[Sum of New TB]]</f>
        <v>0</v>
      </c>
    </row>
    <row r="575" customHeight="1" spans="2:16">
      <c r="B575" s="8" t="s">
        <v>742</v>
      </c>
      <c r="C575" s="9" t="s">
        <v>107</v>
      </c>
      <c r="D575" s="1">
        <v>66720</v>
      </c>
      <c r="E575" s="9"/>
      <c r="G575" s="1" t="s">
        <v>716</v>
      </c>
      <c r="H575" s="1" t="s">
        <v>197</v>
      </c>
      <c r="I575" s="2">
        <v>94693.51</v>
      </c>
      <c r="J575" s="2">
        <v>94693.51</v>
      </c>
      <c r="L575" s="12" t="s">
        <v>719</v>
      </c>
      <c r="M575" s="9" t="s">
        <v>40</v>
      </c>
      <c r="N575" s="21">
        <v>-6181.97</v>
      </c>
      <c r="O575" s="22">
        <v>-6181.97</v>
      </c>
      <c r="P575" s="23">
        <f>Table2[[#This Row],[Sum of Old TB]]-Table2[[#This Row],[Sum of New TB]]</f>
        <v>0</v>
      </c>
    </row>
    <row r="576" customHeight="1" spans="2:16">
      <c r="B576" s="8" t="s">
        <v>743</v>
      </c>
      <c r="C576" s="9" t="s">
        <v>109</v>
      </c>
      <c r="D576" s="1">
        <v>5195.84</v>
      </c>
      <c r="E576" s="9"/>
      <c r="G576" s="1" t="s">
        <v>717</v>
      </c>
      <c r="H576" s="1" t="s">
        <v>275</v>
      </c>
      <c r="I576" s="2">
        <v>52350.71</v>
      </c>
      <c r="J576" s="2">
        <v>52350.71</v>
      </c>
      <c r="L576" s="12" t="s">
        <v>720</v>
      </c>
      <c r="M576" s="9" t="s">
        <v>42</v>
      </c>
      <c r="N576" s="21">
        <v>-1485.91</v>
      </c>
      <c r="O576" s="22">
        <v>-1485.91</v>
      </c>
      <c r="P576" s="23">
        <f>Table2[[#This Row],[Sum of Old TB]]-Table2[[#This Row],[Sum of New TB]]</f>
        <v>0</v>
      </c>
    </row>
    <row r="577" customHeight="1" spans="2:16">
      <c r="B577" s="8" t="s">
        <v>744</v>
      </c>
      <c r="C577" s="9" t="s">
        <v>111</v>
      </c>
      <c r="D577" s="1">
        <v>21382</v>
      </c>
      <c r="E577" s="9"/>
      <c r="G577" s="1" t="s">
        <v>718</v>
      </c>
      <c r="H577" s="1" t="s">
        <v>277</v>
      </c>
      <c r="I577" s="2">
        <v>7667.88</v>
      </c>
      <c r="J577" s="2">
        <v>7667.88</v>
      </c>
      <c r="L577" s="12" t="s">
        <v>721</v>
      </c>
      <c r="M577" s="9" t="s">
        <v>69</v>
      </c>
      <c r="N577" s="21">
        <v>-233039.55</v>
      </c>
      <c r="O577" s="22">
        <v>-233039.55</v>
      </c>
      <c r="P577" s="23">
        <f>Table2[[#This Row],[Sum of Old TB]]-Table2[[#This Row],[Sum of New TB]]</f>
        <v>0</v>
      </c>
    </row>
    <row r="578" customHeight="1" spans="2:16">
      <c r="B578" s="8" t="s">
        <v>745</v>
      </c>
      <c r="C578" s="9" t="s">
        <v>129</v>
      </c>
      <c r="D578" s="1">
        <v>4278.69</v>
      </c>
      <c r="E578" s="9"/>
      <c r="G578" s="1" t="s">
        <v>719</v>
      </c>
      <c r="H578" s="1" t="s">
        <v>40</v>
      </c>
      <c r="I578" s="2">
        <v>-6181.97</v>
      </c>
      <c r="J578" s="2">
        <v>-6181.97</v>
      </c>
      <c r="L578" s="12" t="s">
        <v>722</v>
      </c>
      <c r="M578" s="9" t="s">
        <v>107</v>
      </c>
      <c r="N578" s="21">
        <v>120103.21</v>
      </c>
      <c r="O578" s="22">
        <v>120103.21</v>
      </c>
      <c r="P578" s="23">
        <f>Table2[[#This Row],[Sum of Old TB]]-Table2[[#This Row],[Sum of New TB]]</f>
        <v>0</v>
      </c>
    </row>
    <row r="579" customHeight="1" spans="2:16">
      <c r="B579" s="8" t="s">
        <v>746</v>
      </c>
      <c r="C579" s="9" t="s">
        <v>309</v>
      </c>
      <c r="D579" s="1">
        <v>931.84</v>
      </c>
      <c r="E579" s="9"/>
      <c r="G579" s="1" t="s">
        <v>720</v>
      </c>
      <c r="H579" s="1" t="s">
        <v>42</v>
      </c>
      <c r="I579" s="2">
        <v>-1485.91</v>
      </c>
      <c r="J579" s="2">
        <v>-1485.91</v>
      </c>
      <c r="L579" s="12" t="s">
        <v>723</v>
      </c>
      <c r="M579" s="9" t="s">
        <v>109</v>
      </c>
      <c r="N579" s="21">
        <v>10136.01</v>
      </c>
      <c r="O579" s="22">
        <v>10136.01</v>
      </c>
      <c r="P579" s="23">
        <f>Table2[[#This Row],[Sum of Old TB]]-Table2[[#This Row],[Sum of New TB]]</f>
        <v>0</v>
      </c>
    </row>
    <row r="580" customHeight="1" spans="2:16">
      <c r="B580" s="8" t="s">
        <v>747</v>
      </c>
      <c r="C580" s="9" t="s">
        <v>131</v>
      </c>
      <c r="D580" s="1">
        <v>276</v>
      </c>
      <c r="E580" s="9"/>
      <c r="G580" s="1" t="s">
        <v>721</v>
      </c>
      <c r="H580" s="1" t="s">
        <v>69</v>
      </c>
      <c r="I580" s="2">
        <v>-233039.55</v>
      </c>
      <c r="J580" s="2">
        <v>-233039.55</v>
      </c>
      <c r="L580" s="12" t="s">
        <v>724</v>
      </c>
      <c r="M580" s="9" t="s">
        <v>111</v>
      </c>
      <c r="N580" s="21">
        <v>11350.42</v>
      </c>
      <c r="O580" s="22">
        <v>11350.42</v>
      </c>
      <c r="P580" s="23">
        <f>Table2[[#This Row],[Sum of Old TB]]-Table2[[#This Row],[Sum of New TB]]</f>
        <v>0</v>
      </c>
    </row>
    <row r="581" customHeight="1" spans="2:16">
      <c r="B581" s="8" t="s">
        <v>748</v>
      </c>
      <c r="C581" s="9" t="s">
        <v>133</v>
      </c>
      <c r="D581" s="1">
        <v>-3222.39</v>
      </c>
      <c r="E581" s="9"/>
      <c r="G581" s="1" t="s">
        <v>722</v>
      </c>
      <c r="H581" s="1" t="s">
        <v>107</v>
      </c>
      <c r="I581" s="2">
        <v>120103.21</v>
      </c>
      <c r="J581" s="2">
        <v>120103.21</v>
      </c>
      <c r="L581" s="12" t="s">
        <v>725</v>
      </c>
      <c r="M581" s="9" t="s">
        <v>117</v>
      </c>
      <c r="N581" s="21">
        <v>9800</v>
      </c>
      <c r="O581" s="22">
        <v>9800</v>
      </c>
      <c r="P581" s="23">
        <f>Table2[[#This Row],[Sum of Old TB]]-Table2[[#This Row],[Sum of New TB]]</f>
        <v>0</v>
      </c>
    </row>
    <row r="582" customHeight="1" spans="2:16">
      <c r="B582" s="8" t="s">
        <v>749</v>
      </c>
      <c r="C582" s="9" t="s">
        <v>143</v>
      </c>
      <c r="D582" s="1">
        <v>2065.87</v>
      </c>
      <c r="E582" s="9"/>
      <c r="G582" s="1" t="s">
        <v>723</v>
      </c>
      <c r="H582" s="1" t="s">
        <v>109</v>
      </c>
      <c r="I582" s="2">
        <v>10136.01</v>
      </c>
      <c r="J582" s="2">
        <v>10136.01</v>
      </c>
      <c r="L582" s="12" t="s">
        <v>726</v>
      </c>
      <c r="M582" s="9" t="s">
        <v>129</v>
      </c>
      <c r="N582" s="21">
        <v>4097.54</v>
      </c>
      <c r="O582" s="22">
        <v>4097.54</v>
      </c>
      <c r="P582" s="23">
        <f>Table2[[#This Row],[Sum of Old TB]]-Table2[[#This Row],[Sum of New TB]]</f>
        <v>0</v>
      </c>
    </row>
    <row r="583" customHeight="1" spans="2:16">
      <c r="B583" s="8" t="s">
        <v>750</v>
      </c>
      <c r="C583" s="9" t="s">
        <v>147</v>
      </c>
      <c r="D583" s="1">
        <v>438.37</v>
      </c>
      <c r="E583" s="9"/>
      <c r="G583" s="1" t="s">
        <v>724</v>
      </c>
      <c r="H583" s="1" t="s">
        <v>111</v>
      </c>
      <c r="I583" s="2">
        <v>11350.42</v>
      </c>
      <c r="J583" s="2">
        <v>11350.42</v>
      </c>
      <c r="L583" s="12" t="s">
        <v>727</v>
      </c>
      <c r="M583" s="9" t="s">
        <v>131</v>
      </c>
      <c r="N583" s="21">
        <v>1581.33</v>
      </c>
      <c r="O583" s="22">
        <v>1581.33</v>
      </c>
      <c r="P583" s="23">
        <f>Table2[[#This Row],[Sum of Old TB]]-Table2[[#This Row],[Sum of New TB]]</f>
        <v>0</v>
      </c>
    </row>
    <row r="584" customHeight="1" spans="2:16">
      <c r="B584" s="8" t="s">
        <v>751</v>
      </c>
      <c r="C584" s="9" t="s">
        <v>153</v>
      </c>
      <c r="D584" s="1">
        <v>3367.9</v>
      </c>
      <c r="E584" s="9"/>
      <c r="G584" s="1" t="s">
        <v>725</v>
      </c>
      <c r="H584" s="1" t="s">
        <v>117</v>
      </c>
      <c r="I584" s="2">
        <v>9800</v>
      </c>
      <c r="J584" s="2">
        <v>9800</v>
      </c>
      <c r="L584" s="12" t="s">
        <v>728</v>
      </c>
      <c r="M584" s="9" t="s">
        <v>139</v>
      </c>
      <c r="N584" s="21">
        <v>154.8</v>
      </c>
      <c r="O584" s="22">
        <v>154.8</v>
      </c>
      <c r="P584" s="23">
        <f>Table2[[#This Row],[Sum of Old TB]]-Table2[[#This Row],[Sum of New TB]]</f>
        <v>0</v>
      </c>
    </row>
    <row r="585" customHeight="1" spans="2:16">
      <c r="B585" s="8" t="s">
        <v>752</v>
      </c>
      <c r="C585" s="9" t="s">
        <v>469</v>
      </c>
      <c r="D585" s="1">
        <v>262.5</v>
      </c>
      <c r="E585" s="9"/>
      <c r="G585" s="1" t="s">
        <v>726</v>
      </c>
      <c r="H585" s="1" t="s">
        <v>129</v>
      </c>
      <c r="I585" s="2">
        <v>4097.54</v>
      </c>
      <c r="J585" s="2">
        <v>4097.54</v>
      </c>
      <c r="L585" s="12" t="s">
        <v>729</v>
      </c>
      <c r="M585" s="9" t="s">
        <v>147</v>
      </c>
      <c r="N585" s="21">
        <v>810.99</v>
      </c>
      <c r="O585" s="22">
        <v>810.99</v>
      </c>
      <c r="P585" s="23">
        <f>Table2[[#This Row],[Sum of Old TB]]-Table2[[#This Row],[Sum of New TB]]</f>
        <v>0</v>
      </c>
    </row>
    <row r="586" customHeight="1" spans="2:16">
      <c r="B586" s="8" t="s">
        <v>753</v>
      </c>
      <c r="C586" s="9" t="s">
        <v>175</v>
      </c>
      <c r="D586" s="1">
        <v>2517.43</v>
      </c>
      <c r="E586" s="9"/>
      <c r="G586" s="1" t="s">
        <v>727</v>
      </c>
      <c r="H586" s="1" t="s">
        <v>131</v>
      </c>
      <c r="I586" s="2">
        <v>1581.33</v>
      </c>
      <c r="J586" s="2">
        <v>1581.33</v>
      </c>
      <c r="L586" s="12" t="s">
        <v>730</v>
      </c>
      <c r="M586" s="9" t="s">
        <v>153</v>
      </c>
      <c r="N586" s="21">
        <v>2161.38</v>
      </c>
      <c r="O586" s="22">
        <v>2161.38</v>
      </c>
      <c r="P586" s="23">
        <f>Table2[[#This Row],[Sum of Old TB]]-Table2[[#This Row],[Sum of New TB]]</f>
        <v>0</v>
      </c>
    </row>
    <row r="587" customHeight="1" spans="2:16">
      <c r="B587" s="8" t="s">
        <v>754</v>
      </c>
      <c r="C587" s="9" t="s">
        <v>179</v>
      </c>
      <c r="D587" s="1">
        <v>684.33</v>
      </c>
      <c r="E587" s="9"/>
      <c r="G587" s="1" t="s">
        <v>728</v>
      </c>
      <c r="H587" s="1" t="s">
        <v>139</v>
      </c>
      <c r="I587" s="2">
        <v>154.8</v>
      </c>
      <c r="J587" s="2">
        <v>154.8</v>
      </c>
      <c r="L587" s="12" t="s">
        <v>731</v>
      </c>
      <c r="M587" s="9" t="s">
        <v>469</v>
      </c>
      <c r="N587" s="21">
        <v>262.5</v>
      </c>
      <c r="O587" s="22">
        <v>262.5</v>
      </c>
      <c r="P587" s="23">
        <f>Table2[[#This Row],[Sum of Old TB]]-Table2[[#This Row],[Sum of New TB]]</f>
        <v>0</v>
      </c>
    </row>
    <row r="588" customHeight="1" spans="2:16">
      <c r="B588" s="8" t="s">
        <v>755</v>
      </c>
      <c r="C588" s="9" t="s">
        <v>208</v>
      </c>
      <c r="D588" s="1">
        <v>513</v>
      </c>
      <c r="E588" s="9"/>
      <c r="G588" s="1" t="s">
        <v>729</v>
      </c>
      <c r="H588" s="1" t="s">
        <v>147</v>
      </c>
      <c r="I588" s="2">
        <v>810.99</v>
      </c>
      <c r="J588" s="2">
        <v>810.99</v>
      </c>
      <c r="L588" s="12" t="s">
        <v>732</v>
      </c>
      <c r="M588" s="9" t="s">
        <v>175</v>
      </c>
      <c r="N588" s="21">
        <v>11363.65</v>
      </c>
      <c r="O588" s="22">
        <v>11363.65</v>
      </c>
      <c r="P588" s="23">
        <f>Table2[[#This Row],[Sum of Old TB]]-Table2[[#This Row],[Sum of New TB]]</f>
        <v>0</v>
      </c>
    </row>
    <row r="589" customHeight="1" spans="2:16">
      <c r="B589" s="8" t="s">
        <v>756</v>
      </c>
      <c r="C589" s="9" t="s">
        <v>216</v>
      </c>
      <c r="D589" s="1">
        <v>2617.93</v>
      </c>
      <c r="E589" s="9"/>
      <c r="G589" s="1" t="s">
        <v>730</v>
      </c>
      <c r="H589" s="1" t="s">
        <v>153</v>
      </c>
      <c r="I589" s="2">
        <v>2161.38</v>
      </c>
      <c r="J589" s="2">
        <v>2161.38</v>
      </c>
      <c r="L589" s="12" t="s">
        <v>733</v>
      </c>
      <c r="M589" s="9" t="s">
        <v>177</v>
      </c>
      <c r="N589" s="21">
        <v>6872.99</v>
      </c>
      <c r="O589" s="22">
        <v>6872.99</v>
      </c>
      <c r="P589" s="23">
        <f>Table2[[#This Row],[Sum of Old TB]]-Table2[[#This Row],[Sum of New TB]]</f>
        <v>0</v>
      </c>
    </row>
    <row r="590" customHeight="1" spans="2:16">
      <c r="B590" s="8" t="s">
        <v>757</v>
      </c>
      <c r="C590" s="9" t="s">
        <v>431</v>
      </c>
      <c r="D590" s="1">
        <v>5047.33</v>
      </c>
      <c r="E590" s="9"/>
      <c r="G590" s="1" t="s">
        <v>731</v>
      </c>
      <c r="H590" s="1" t="s">
        <v>469</v>
      </c>
      <c r="I590" s="2">
        <v>262.5</v>
      </c>
      <c r="J590" s="2">
        <v>262.5</v>
      </c>
      <c r="L590" s="12" t="s">
        <v>734</v>
      </c>
      <c r="M590" s="9" t="s">
        <v>179</v>
      </c>
      <c r="N590" s="21">
        <v>458.15</v>
      </c>
      <c r="O590" s="22">
        <v>458.15</v>
      </c>
      <c r="P590" s="23">
        <f>Table2[[#This Row],[Sum of Old TB]]-Table2[[#This Row],[Sum of New TB]]</f>
        <v>0</v>
      </c>
    </row>
    <row r="591" customHeight="1" spans="2:16">
      <c r="B591" s="8" t="s">
        <v>758</v>
      </c>
      <c r="C591" s="9" t="s">
        <v>224</v>
      </c>
      <c r="D591" s="1">
        <v>6234.52</v>
      </c>
      <c r="E591" s="9"/>
      <c r="G591" s="1" t="s">
        <v>732</v>
      </c>
      <c r="H591" s="1" t="s">
        <v>175</v>
      </c>
      <c r="I591" s="2">
        <v>11363.65</v>
      </c>
      <c r="J591" s="2">
        <v>11363.65</v>
      </c>
      <c r="L591" s="12" t="s">
        <v>735</v>
      </c>
      <c r="M591" s="9" t="s">
        <v>185</v>
      </c>
      <c r="N591" s="21">
        <v>678.09</v>
      </c>
      <c r="O591" s="22">
        <v>678.09</v>
      </c>
      <c r="P591" s="23">
        <f>Table2[[#This Row],[Sum of Old TB]]-Table2[[#This Row],[Sum of New TB]]</f>
        <v>0</v>
      </c>
    </row>
    <row r="592" customHeight="1" spans="2:16">
      <c r="B592" s="8" t="s">
        <v>759</v>
      </c>
      <c r="C592" s="9" t="s">
        <v>377</v>
      </c>
      <c r="D592" s="1">
        <v>3232.22</v>
      </c>
      <c r="E592" s="9"/>
      <c r="G592" s="1" t="s">
        <v>733</v>
      </c>
      <c r="H592" s="1" t="s">
        <v>177</v>
      </c>
      <c r="I592" s="2">
        <v>6872.99</v>
      </c>
      <c r="J592" s="2">
        <v>6872.99</v>
      </c>
      <c r="L592" s="12" t="s">
        <v>736</v>
      </c>
      <c r="M592" s="9" t="s">
        <v>189</v>
      </c>
      <c r="N592" s="21">
        <v>1400</v>
      </c>
      <c r="O592" s="22">
        <v>1400</v>
      </c>
      <c r="P592" s="23">
        <f>Table2[[#This Row],[Sum of Old TB]]-Table2[[#This Row],[Sum of New TB]]</f>
        <v>0</v>
      </c>
    </row>
    <row r="593" customHeight="1" spans="2:16">
      <c r="B593" s="8" t="s">
        <v>760</v>
      </c>
      <c r="C593" s="9" t="s">
        <v>275</v>
      </c>
      <c r="D593" s="1">
        <v>13587.47</v>
      </c>
      <c r="E593" s="9"/>
      <c r="G593" s="1" t="s">
        <v>734</v>
      </c>
      <c r="H593" s="1" t="s">
        <v>179</v>
      </c>
      <c r="I593" s="2">
        <v>458.15</v>
      </c>
      <c r="J593" s="2">
        <v>458.15</v>
      </c>
      <c r="L593" s="12" t="s">
        <v>737</v>
      </c>
      <c r="M593" s="9" t="s">
        <v>197</v>
      </c>
      <c r="N593" s="21">
        <v>19509.36</v>
      </c>
      <c r="O593" s="22">
        <v>19509.36</v>
      </c>
      <c r="P593" s="23">
        <f>Table2[[#This Row],[Sum of Old TB]]-Table2[[#This Row],[Sum of New TB]]</f>
        <v>0</v>
      </c>
    </row>
    <row r="594" customHeight="1" spans="2:16">
      <c r="B594" s="8" t="s">
        <v>761</v>
      </c>
      <c r="C594" s="9" t="s">
        <v>40</v>
      </c>
      <c r="D594" s="1">
        <v>33437.91</v>
      </c>
      <c r="E594" s="9"/>
      <c r="G594" s="1" t="s">
        <v>735</v>
      </c>
      <c r="H594" s="1" t="s">
        <v>185</v>
      </c>
      <c r="I594" s="2">
        <v>678.09</v>
      </c>
      <c r="J594" s="2">
        <v>678.09</v>
      </c>
      <c r="L594" s="12" t="s">
        <v>738</v>
      </c>
      <c r="M594" s="9" t="s">
        <v>275</v>
      </c>
      <c r="N594" s="21">
        <v>32299.13</v>
      </c>
      <c r="O594" s="22">
        <v>32299.13</v>
      </c>
      <c r="P594" s="23">
        <f>Table2[[#This Row],[Sum of Old TB]]-Table2[[#This Row],[Sum of New TB]]</f>
        <v>0</v>
      </c>
    </row>
    <row r="595" customHeight="1" spans="2:16">
      <c r="B595" s="8" t="s">
        <v>762</v>
      </c>
      <c r="C595" s="9" t="s">
        <v>228</v>
      </c>
      <c r="D595" s="1">
        <v>-33417.91</v>
      </c>
      <c r="E595" s="9"/>
      <c r="G595" s="1" t="s">
        <v>736</v>
      </c>
      <c r="H595" s="1" t="s">
        <v>189</v>
      </c>
      <c r="I595" s="2">
        <v>1400</v>
      </c>
      <c r="J595" s="2">
        <v>1400</v>
      </c>
      <c r="L595" s="12" t="s">
        <v>739</v>
      </c>
      <c r="M595" s="9" t="s">
        <v>277</v>
      </c>
      <c r="N595" s="21">
        <v>4643.52</v>
      </c>
      <c r="O595" s="22">
        <v>6896.96</v>
      </c>
      <c r="P595" s="23">
        <f>Table2[[#This Row],[Sum of Old TB]]-Table2[[#This Row],[Sum of New TB]]</f>
        <v>-2253.44</v>
      </c>
    </row>
    <row r="596" customHeight="1" spans="2:16">
      <c r="B596" s="8" t="s">
        <v>763</v>
      </c>
      <c r="C596" s="9" t="s">
        <v>63</v>
      </c>
      <c r="D596" s="1">
        <v>-20</v>
      </c>
      <c r="E596" s="9"/>
      <c r="G596" s="1" t="s">
        <v>737</v>
      </c>
      <c r="H596" s="1" t="s">
        <v>197</v>
      </c>
      <c r="I596" s="2">
        <v>19509.36</v>
      </c>
      <c r="J596" s="2">
        <v>19509.36</v>
      </c>
      <c r="L596" s="12" t="s">
        <v>740</v>
      </c>
      <c r="M596" s="9" t="s">
        <v>40</v>
      </c>
      <c r="N596" s="21">
        <v>-4643.52</v>
      </c>
      <c r="O596" s="22">
        <v>-6896.96</v>
      </c>
      <c r="P596" s="23">
        <f>Table2[[#This Row],[Sum of Old TB]]-Table2[[#This Row],[Sum of New TB]]</f>
        <v>2253.44</v>
      </c>
    </row>
    <row r="597" customHeight="1" spans="2:16">
      <c r="B597" s="8" t="s">
        <v>764</v>
      </c>
      <c r="C597" s="9" t="s">
        <v>40</v>
      </c>
      <c r="D597" s="1">
        <v>51883.32</v>
      </c>
      <c r="E597" s="9"/>
      <c r="G597" s="1" t="s">
        <v>738</v>
      </c>
      <c r="H597" s="1" t="s">
        <v>275</v>
      </c>
      <c r="I597" s="2">
        <v>32299.13</v>
      </c>
      <c r="J597" s="2">
        <v>32299.13</v>
      </c>
      <c r="L597" s="12" t="s">
        <v>741</v>
      </c>
      <c r="M597" s="9" t="s">
        <v>69</v>
      </c>
      <c r="N597" s="21">
        <v>-136130.85</v>
      </c>
      <c r="O597" s="22">
        <v>-138384.29</v>
      </c>
      <c r="P597" s="23">
        <f>Table2[[#This Row],[Sum of Old TB]]-Table2[[#This Row],[Sum of New TB]]</f>
        <v>2253.44</v>
      </c>
    </row>
    <row r="598" customHeight="1" spans="2:16">
      <c r="B598" s="8" t="s">
        <v>765</v>
      </c>
      <c r="C598" s="9" t="s">
        <v>228</v>
      </c>
      <c r="D598" s="1">
        <v>-51883.32</v>
      </c>
      <c r="E598" s="9"/>
      <c r="G598" s="1" t="s">
        <v>739</v>
      </c>
      <c r="H598" s="1" t="s">
        <v>277</v>
      </c>
      <c r="I598" s="2">
        <v>4643.52</v>
      </c>
      <c r="J598" s="2">
        <v>6896.96</v>
      </c>
      <c r="L598" s="12" t="s">
        <v>742</v>
      </c>
      <c r="M598" s="9" t="s">
        <v>107</v>
      </c>
      <c r="N598" s="21">
        <v>66720</v>
      </c>
      <c r="O598" s="22">
        <v>68520</v>
      </c>
      <c r="P598" s="23">
        <f>Table2[[#This Row],[Sum of Old TB]]-Table2[[#This Row],[Sum of New TB]]</f>
        <v>-1800</v>
      </c>
    </row>
    <row r="599" customHeight="1" spans="2:16">
      <c r="B599" s="8" t="s">
        <v>766</v>
      </c>
      <c r="C599" s="9" t="s">
        <v>69</v>
      </c>
      <c r="D599" s="1">
        <v>-66617.32</v>
      </c>
      <c r="E599" s="9"/>
      <c r="G599" s="1" t="s">
        <v>740</v>
      </c>
      <c r="H599" s="1" t="s">
        <v>40</v>
      </c>
      <c r="I599" s="2">
        <v>-4643.52</v>
      </c>
      <c r="J599" s="2">
        <v>-6896.96</v>
      </c>
      <c r="L599" s="12" t="s">
        <v>743</v>
      </c>
      <c r="M599" s="9" t="s">
        <v>109</v>
      </c>
      <c r="N599" s="21">
        <v>5195.84</v>
      </c>
      <c r="O599" s="22">
        <v>5336.95</v>
      </c>
      <c r="P599" s="23">
        <f>Table2[[#This Row],[Sum of Old TB]]-Table2[[#This Row],[Sum of New TB]]</f>
        <v>-141.11</v>
      </c>
    </row>
    <row r="600" customHeight="1" spans="2:16">
      <c r="B600" s="8" t="s">
        <v>767</v>
      </c>
      <c r="C600" s="9" t="s">
        <v>117</v>
      </c>
      <c r="D600" s="1">
        <v>7500</v>
      </c>
      <c r="E600" s="9"/>
      <c r="G600" s="1" t="s">
        <v>741</v>
      </c>
      <c r="H600" s="1" t="s">
        <v>69</v>
      </c>
      <c r="I600" s="2">
        <v>-136130.85</v>
      </c>
      <c r="J600" s="2">
        <v>-138384.29</v>
      </c>
      <c r="L600" s="12" t="s">
        <v>744</v>
      </c>
      <c r="M600" s="9" t="s">
        <v>111</v>
      </c>
      <c r="N600" s="21">
        <v>21382</v>
      </c>
      <c r="O600" s="22">
        <v>21382</v>
      </c>
      <c r="P600" s="23">
        <f>Table2[[#This Row],[Sum of Old TB]]-Table2[[#This Row],[Sum of New TB]]</f>
        <v>0</v>
      </c>
    </row>
    <row r="601" customHeight="1" spans="2:16">
      <c r="B601" s="8" t="s">
        <v>768</v>
      </c>
      <c r="C601" s="9" t="s">
        <v>218</v>
      </c>
      <c r="D601" s="1">
        <v>59117.32</v>
      </c>
      <c r="E601" s="9"/>
      <c r="G601" s="1" t="s">
        <v>742</v>
      </c>
      <c r="H601" s="1" t="s">
        <v>107</v>
      </c>
      <c r="I601" s="2">
        <v>66720</v>
      </c>
      <c r="J601" s="2">
        <v>68520</v>
      </c>
      <c r="L601" s="12" t="s">
        <v>745</v>
      </c>
      <c r="M601" s="9" t="s">
        <v>129</v>
      </c>
      <c r="N601" s="21">
        <v>4278.69</v>
      </c>
      <c r="O601" s="22">
        <v>4278.69</v>
      </c>
      <c r="P601" s="23">
        <f>Table2[[#This Row],[Sum of Old TB]]-Table2[[#This Row],[Sum of New TB]]</f>
        <v>0</v>
      </c>
    </row>
    <row r="602" customHeight="1" spans="2:16">
      <c r="B602" s="8" t="s">
        <v>769</v>
      </c>
      <c r="C602" s="9" t="s">
        <v>40</v>
      </c>
      <c r="D602" s="1">
        <v>1505.01</v>
      </c>
      <c r="E602" s="9"/>
      <c r="G602" s="1" t="s">
        <v>743</v>
      </c>
      <c r="H602" s="1" t="s">
        <v>109</v>
      </c>
      <c r="I602" s="2">
        <v>5195.84</v>
      </c>
      <c r="J602" s="2">
        <v>5336.95</v>
      </c>
      <c r="L602" s="12" t="s">
        <v>746</v>
      </c>
      <c r="M602" s="9" t="s">
        <v>309</v>
      </c>
      <c r="N602" s="21">
        <v>931.84</v>
      </c>
      <c r="O602" s="22">
        <v>931.84</v>
      </c>
      <c r="P602" s="23">
        <f>Table2[[#This Row],[Sum of Old TB]]-Table2[[#This Row],[Sum of New TB]]</f>
        <v>0</v>
      </c>
    </row>
    <row r="603" customHeight="1" spans="2:16">
      <c r="B603" s="8" t="s">
        <v>770</v>
      </c>
      <c r="C603" s="9" t="s">
        <v>228</v>
      </c>
      <c r="D603" s="1">
        <v>-1505.01</v>
      </c>
      <c r="E603" s="9"/>
      <c r="G603" s="1" t="s">
        <v>744</v>
      </c>
      <c r="H603" s="1" t="s">
        <v>111</v>
      </c>
      <c r="I603" s="2">
        <v>21382</v>
      </c>
      <c r="J603" s="2">
        <v>21382</v>
      </c>
      <c r="L603" s="12" t="s">
        <v>747</v>
      </c>
      <c r="M603" s="9" t="s">
        <v>131</v>
      </c>
      <c r="N603" s="21">
        <v>276</v>
      </c>
      <c r="O603" s="22">
        <v>276</v>
      </c>
      <c r="P603" s="23">
        <f>Table2[[#This Row],[Sum of Old TB]]-Table2[[#This Row],[Sum of New TB]]</f>
        <v>0</v>
      </c>
    </row>
    <row r="604" customHeight="1" spans="2:16">
      <c r="B604" s="8" t="s">
        <v>771</v>
      </c>
      <c r="C604" s="9" t="s">
        <v>69</v>
      </c>
      <c r="D604" s="1">
        <v>-17566.14</v>
      </c>
      <c r="E604" s="9"/>
      <c r="G604" s="1" t="s">
        <v>745</v>
      </c>
      <c r="H604" s="1" t="s">
        <v>129</v>
      </c>
      <c r="I604" s="2">
        <v>4278.69</v>
      </c>
      <c r="J604" s="2">
        <v>4278.69</v>
      </c>
      <c r="L604" s="12" t="s">
        <v>748</v>
      </c>
      <c r="M604" s="9" t="s">
        <v>133</v>
      </c>
      <c r="N604" s="21">
        <v>-3222.39</v>
      </c>
      <c r="O604" s="22">
        <v>-3222.39</v>
      </c>
      <c r="P604" s="23">
        <f>Table2[[#This Row],[Sum of Old TB]]-Table2[[#This Row],[Sum of New TB]]</f>
        <v>0</v>
      </c>
    </row>
    <row r="605" customHeight="1" spans="2:16">
      <c r="B605" s="8" t="s">
        <v>772</v>
      </c>
      <c r="C605" s="9" t="s">
        <v>121</v>
      </c>
      <c r="D605" s="1">
        <v>15800</v>
      </c>
      <c r="E605" s="9"/>
      <c r="G605" s="1" t="s">
        <v>746</v>
      </c>
      <c r="H605" s="1" t="s">
        <v>309</v>
      </c>
      <c r="I605" s="2">
        <v>931.84</v>
      </c>
      <c r="J605" s="2">
        <v>931.84</v>
      </c>
      <c r="L605" s="12" t="s">
        <v>749</v>
      </c>
      <c r="M605" s="9" t="s">
        <v>143</v>
      </c>
      <c r="N605" s="21">
        <v>2065.87</v>
      </c>
      <c r="O605" s="22">
        <v>2065.87</v>
      </c>
      <c r="P605" s="23">
        <f>Table2[[#This Row],[Sum of Old TB]]-Table2[[#This Row],[Sum of New TB]]</f>
        <v>0</v>
      </c>
    </row>
    <row r="606" customHeight="1" spans="2:16">
      <c r="B606" s="8" t="s">
        <v>773</v>
      </c>
      <c r="C606" s="9" t="s">
        <v>175</v>
      </c>
      <c r="D606" s="1">
        <v>1521.36</v>
      </c>
      <c r="E606" s="9"/>
      <c r="G606" s="1" t="s">
        <v>747</v>
      </c>
      <c r="H606" s="1" t="s">
        <v>131</v>
      </c>
      <c r="I606" s="2">
        <v>276</v>
      </c>
      <c r="J606" s="2">
        <v>276</v>
      </c>
      <c r="L606" s="12" t="s">
        <v>750</v>
      </c>
      <c r="M606" s="9" t="s">
        <v>147</v>
      </c>
      <c r="N606" s="21">
        <v>438.37</v>
      </c>
      <c r="O606" s="22">
        <v>438.37</v>
      </c>
      <c r="P606" s="23">
        <f>Table2[[#This Row],[Sum of Old TB]]-Table2[[#This Row],[Sum of New TB]]</f>
        <v>0</v>
      </c>
    </row>
    <row r="607" customHeight="1" spans="2:16">
      <c r="B607" s="8" t="s">
        <v>774</v>
      </c>
      <c r="C607" s="9" t="s">
        <v>275</v>
      </c>
      <c r="D607" s="1">
        <v>244.78</v>
      </c>
      <c r="E607" s="9"/>
      <c r="G607" s="1" t="s">
        <v>748</v>
      </c>
      <c r="H607" s="1" t="s">
        <v>133</v>
      </c>
      <c r="I607" s="2">
        <v>-3222.39</v>
      </c>
      <c r="J607" s="2">
        <v>-3222.39</v>
      </c>
      <c r="L607" s="12" t="s">
        <v>751</v>
      </c>
      <c r="M607" s="9" t="s">
        <v>153</v>
      </c>
      <c r="N607" s="21">
        <v>3367.9</v>
      </c>
      <c r="O607" s="22">
        <v>3367.9</v>
      </c>
      <c r="P607" s="23">
        <f>Table2[[#This Row],[Sum of Old TB]]-Table2[[#This Row],[Sum of New TB]]</f>
        <v>0</v>
      </c>
    </row>
    <row r="608" customHeight="1" spans="2:16">
      <c r="B608" s="8" t="s">
        <v>775</v>
      </c>
      <c r="C608" s="9" t="s">
        <v>277</v>
      </c>
      <c r="D608" s="1">
        <v>16011.84</v>
      </c>
      <c r="E608" s="9"/>
      <c r="G608" s="1" t="s">
        <v>749</v>
      </c>
      <c r="H608" s="1" t="s">
        <v>143</v>
      </c>
      <c r="I608" s="2">
        <v>2065.87</v>
      </c>
      <c r="J608" s="2">
        <v>2065.87</v>
      </c>
      <c r="L608" s="12" t="s">
        <v>752</v>
      </c>
      <c r="M608" s="9" t="s">
        <v>469</v>
      </c>
      <c r="N608" s="21">
        <v>262.5</v>
      </c>
      <c r="O608" s="22">
        <v>262.5</v>
      </c>
      <c r="P608" s="23">
        <f>Table2[[#This Row],[Sum of Old TB]]-Table2[[#This Row],[Sum of New TB]]</f>
        <v>0</v>
      </c>
    </row>
    <row r="609" customHeight="1" spans="2:16">
      <c r="B609" s="8" t="s">
        <v>776</v>
      </c>
      <c r="C609" s="9" t="s">
        <v>40</v>
      </c>
      <c r="D609" s="1">
        <v>-15491.6</v>
      </c>
      <c r="E609" s="9"/>
      <c r="G609" s="1" t="s">
        <v>750</v>
      </c>
      <c r="H609" s="1" t="s">
        <v>147</v>
      </c>
      <c r="I609" s="2">
        <v>438.37</v>
      </c>
      <c r="J609" s="2">
        <v>438.37</v>
      </c>
      <c r="L609" s="12" t="s">
        <v>753</v>
      </c>
      <c r="M609" s="9" t="s">
        <v>175</v>
      </c>
      <c r="N609" s="21">
        <v>2517.43</v>
      </c>
      <c r="O609" s="22">
        <v>2517.43</v>
      </c>
      <c r="P609" s="23">
        <f>Table2[[#This Row],[Sum of Old TB]]-Table2[[#This Row],[Sum of New TB]]</f>
        <v>0</v>
      </c>
    </row>
    <row r="610" customHeight="1" spans="2:16">
      <c r="B610" s="8" t="s">
        <v>777</v>
      </c>
      <c r="C610" s="9" t="s">
        <v>42</v>
      </c>
      <c r="D610" s="1">
        <v>-520.24</v>
      </c>
      <c r="E610" s="9"/>
      <c r="G610" s="1" t="s">
        <v>751</v>
      </c>
      <c r="H610" s="1" t="s">
        <v>153</v>
      </c>
      <c r="I610" s="2">
        <v>3367.9</v>
      </c>
      <c r="J610" s="2">
        <v>3367.9</v>
      </c>
      <c r="L610" s="12" t="s">
        <v>754</v>
      </c>
      <c r="M610" s="9" t="s">
        <v>179</v>
      </c>
      <c r="N610" s="21">
        <v>684.33</v>
      </c>
      <c r="O610" s="22">
        <v>684.33</v>
      </c>
      <c r="P610" s="23">
        <f>Table2[[#This Row],[Sum of Old TB]]-Table2[[#This Row],[Sum of New TB]]</f>
        <v>0</v>
      </c>
    </row>
    <row r="611" customHeight="1" spans="2:16">
      <c r="B611" s="8" t="s">
        <v>778</v>
      </c>
      <c r="C611" s="9" t="s">
        <v>69</v>
      </c>
      <c r="D611" s="1">
        <v>-121441.84</v>
      </c>
      <c r="E611" s="9"/>
      <c r="G611" s="1" t="s">
        <v>752</v>
      </c>
      <c r="H611" s="1" t="s">
        <v>469</v>
      </c>
      <c r="I611" s="2">
        <v>262.5</v>
      </c>
      <c r="J611" s="2">
        <v>262.5</v>
      </c>
      <c r="L611" s="12" t="s">
        <v>755</v>
      </c>
      <c r="M611" s="9" t="s">
        <v>208</v>
      </c>
      <c r="N611" s="21">
        <v>513</v>
      </c>
      <c r="O611" s="22">
        <v>513</v>
      </c>
      <c r="P611" s="23">
        <f>Table2[[#This Row],[Sum of Old TB]]-Table2[[#This Row],[Sum of New TB]]</f>
        <v>0</v>
      </c>
    </row>
    <row r="612" customHeight="1" spans="2:16">
      <c r="B612" s="8" t="s">
        <v>779</v>
      </c>
      <c r="C612" s="9" t="s">
        <v>107</v>
      </c>
      <c r="D612" s="1">
        <v>81730.79</v>
      </c>
      <c r="E612" s="9"/>
      <c r="G612" s="1" t="s">
        <v>753</v>
      </c>
      <c r="H612" s="1" t="s">
        <v>175</v>
      </c>
      <c r="I612" s="2">
        <v>2517.43</v>
      </c>
      <c r="J612" s="2">
        <v>2517.43</v>
      </c>
      <c r="L612" s="12" t="s">
        <v>756</v>
      </c>
      <c r="M612" s="9" t="s">
        <v>216</v>
      </c>
      <c r="N612" s="21">
        <v>2617.93</v>
      </c>
      <c r="O612" s="22">
        <v>2617.93</v>
      </c>
      <c r="P612" s="23">
        <f>Table2[[#This Row],[Sum of Old TB]]-Table2[[#This Row],[Sum of New TB]]</f>
        <v>0</v>
      </c>
    </row>
    <row r="613" customHeight="1" spans="2:16">
      <c r="B613" s="8" t="s">
        <v>780</v>
      </c>
      <c r="C613" s="9" t="s">
        <v>109</v>
      </c>
      <c r="D613" s="1">
        <v>6358.27</v>
      </c>
      <c r="E613" s="9"/>
      <c r="G613" s="1" t="s">
        <v>754</v>
      </c>
      <c r="H613" s="1" t="s">
        <v>179</v>
      </c>
      <c r="I613" s="2">
        <v>684.33</v>
      </c>
      <c r="J613" s="2">
        <v>684.33</v>
      </c>
      <c r="L613" s="12" t="s">
        <v>757</v>
      </c>
      <c r="M613" s="9" t="s">
        <v>431</v>
      </c>
      <c r="N613" s="21">
        <v>5047.33</v>
      </c>
      <c r="O613" s="22">
        <v>5047.33</v>
      </c>
      <c r="P613" s="23">
        <f>Table2[[#This Row],[Sum of Old TB]]-Table2[[#This Row],[Sum of New TB]]</f>
        <v>0</v>
      </c>
    </row>
    <row r="614" customHeight="1" spans="2:16">
      <c r="B614" s="8" t="s">
        <v>781</v>
      </c>
      <c r="C614" s="9" t="s">
        <v>111</v>
      </c>
      <c r="D614" s="1">
        <v>13197.29</v>
      </c>
      <c r="E614" s="9"/>
      <c r="G614" s="1" t="s">
        <v>755</v>
      </c>
      <c r="H614" s="1" t="s">
        <v>208</v>
      </c>
      <c r="I614" s="2">
        <v>513</v>
      </c>
      <c r="J614" s="2">
        <v>513</v>
      </c>
      <c r="L614" s="12" t="s">
        <v>758</v>
      </c>
      <c r="M614" s="9" t="s">
        <v>224</v>
      </c>
      <c r="N614" s="21">
        <v>6234.52</v>
      </c>
      <c r="O614" s="22">
        <v>6234.52</v>
      </c>
      <c r="P614" s="23">
        <f>Table2[[#This Row],[Sum of Old TB]]-Table2[[#This Row],[Sum of New TB]]</f>
        <v>0</v>
      </c>
    </row>
    <row r="615" customHeight="1" spans="2:16">
      <c r="B615" s="8" t="s">
        <v>782</v>
      </c>
      <c r="C615" s="9" t="s">
        <v>129</v>
      </c>
      <c r="D615" s="1">
        <v>1500.55</v>
      </c>
      <c r="E615" s="9"/>
      <c r="G615" s="1" t="s">
        <v>756</v>
      </c>
      <c r="H615" s="1" t="s">
        <v>216</v>
      </c>
      <c r="I615" s="2">
        <v>2617.93</v>
      </c>
      <c r="J615" s="2">
        <v>2617.93</v>
      </c>
      <c r="L615" s="12" t="s">
        <v>759</v>
      </c>
      <c r="M615" s="9" t="s">
        <v>377</v>
      </c>
      <c r="N615" s="21">
        <v>3232.22</v>
      </c>
      <c r="O615" s="22">
        <v>3232.22</v>
      </c>
      <c r="P615" s="23">
        <f>Table2[[#This Row],[Sum of Old TB]]-Table2[[#This Row],[Sum of New TB]]</f>
        <v>0</v>
      </c>
    </row>
    <row r="616" customHeight="1" spans="2:16">
      <c r="B616" s="8" t="s">
        <v>783</v>
      </c>
      <c r="C616" s="9" t="s">
        <v>131</v>
      </c>
      <c r="D616" s="1">
        <v>276</v>
      </c>
      <c r="E616" s="9"/>
      <c r="G616" s="1" t="s">
        <v>757</v>
      </c>
      <c r="H616" s="1" t="s">
        <v>431</v>
      </c>
      <c r="I616" s="2">
        <v>5047.33</v>
      </c>
      <c r="J616" s="2">
        <v>5047.33</v>
      </c>
      <c r="L616" s="12" t="s">
        <v>760</v>
      </c>
      <c r="M616" s="9" t="s">
        <v>275</v>
      </c>
      <c r="N616" s="21">
        <v>13587.47</v>
      </c>
      <c r="O616" s="22">
        <v>13899.8</v>
      </c>
      <c r="P616" s="23">
        <f>Table2[[#This Row],[Sum of Old TB]]-Table2[[#This Row],[Sum of New TB]]</f>
        <v>-312.33</v>
      </c>
    </row>
    <row r="617" customHeight="1" spans="2:16">
      <c r="B617" s="8" t="s">
        <v>784</v>
      </c>
      <c r="C617" s="9" t="s">
        <v>153</v>
      </c>
      <c r="D617" s="1">
        <v>1547.18</v>
      </c>
      <c r="E617" s="9"/>
      <c r="G617" s="1" t="s">
        <v>758</v>
      </c>
      <c r="H617" s="1" t="s">
        <v>224</v>
      </c>
      <c r="I617" s="2">
        <v>6234.52</v>
      </c>
      <c r="J617" s="2">
        <v>6234.52</v>
      </c>
      <c r="L617" s="12" t="s">
        <v>761</v>
      </c>
      <c r="M617" s="9" t="s">
        <v>40</v>
      </c>
      <c r="N617" s="21">
        <v>33437.91</v>
      </c>
      <c r="O617" s="22">
        <v>33437.91</v>
      </c>
      <c r="P617" s="23">
        <f>Table2[[#This Row],[Sum of Old TB]]-Table2[[#This Row],[Sum of New TB]]</f>
        <v>0</v>
      </c>
    </row>
    <row r="618" customHeight="1" spans="2:16">
      <c r="B618" s="8" t="s">
        <v>785</v>
      </c>
      <c r="C618" s="9" t="s">
        <v>275</v>
      </c>
      <c r="D618" s="1">
        <v>16831.76</v>
      </c>
      <c r="E618" s="9"/>
      <c r="G618" s="1" t="s">
        <v>759</v>
      </c>
      <c r="H618" s="1" t="s">
        <v>377</v>
      </c>
      <c r="I618" s="2">
        <v>3232.22</v>
      </c>
      <c r="J618" s="2">
        <v>3232.22</v>
      </c>
      <c r="L618" s="12" t="s">
        <v>762</v>
      </c>
      <c r="M618" s="9" t="s">
        <v>228</v>
      </c>
      <c r="N618" s="21">
        <v>-33417.91</v>
      </c>
      <c r="O618" s="22">
        <v>-33417.91</v>
      </c>
      <c r="P618" s="23">
        <f>Table2[[#This Row],[Sum of Old TB]]-Table2[[#This Row],[Sum of New TB]]</f>
        <v>0</v>
      </c>
    </row>
    <row r="619" customHeight="1" spans="2:16">
      <c r="B619" s="8" t="s">
        <v>786</v>
      </c>
      <c r="C619" s="9" t="s">
        <v>40</v>
      </c>
      <c r="D619" s="1">
        <v>298.64</v>
      </c>
      <c r="E619" s="9"/>
      <c r="G619" s="1" t="s">
        <v>760</v>
      </c>
      <c r="H619" s="1" t="s">
        <v>275</v>
      </c>
      <c r="I619" s="2">
        <v>13587.47</v>
      </c>
      <c r="J619" s="2">
        <v>13899.8</v>
      </c>
      <c r="L619" s="12" t="s">
        <v>763</v>
      </c>
      <c r="M619" s="9" t="s">
        <v>63</v>
      </c>
      <c r="N619" s="21">
        <v>-20</v>
      </c>
      <c r="O619" s="22">
        <v>-20</v>
      </c>
      <c r="P619" s="23">
        <f>Table2[[#This Row],[Sum of Old TB]]-Table2[[#This Row],[Sum of New TB]]</f>
        <v>0</v>
      </c>
    </row>
    <row r="620" customHeight="1" spans="2:16">
      <c r="B620" s="8" t="s">
        <v>787</v>
      </c>
      <c r="C620" s="9" t="s">
        <v>228</v>
      </c>
      <c r="D620" s="1">
        <v>-298.64</v>
      </c>
      <c r="E620" s="9"/>
      <c r="G620" s="1" t="s">
        <v>761</v>
      </c>
      <c r="H620" s="1" t="s">
        <v>40</v>
      </c>
      <c r="I620" s="2">
        <v>33437.91</v>
      </c>
      <c r="J620" s="2">
        <v>33437.91</v>
      </c>
      <c r="L620" s="12" t="s">
        <v>764</v>
      </c>
      <c r="M620" s="9" t="s">
        <v>40</v>
      </c>
      <c r="N620" s="21">
        <v>51883.32</v>
      </c>
      <c r="O620" s="22">
        <v>51883.32</v>
      </c>
      <c r="P620" s="23">
        <f>Table2[[#This Row],[Sum of Old TB]]-Table2[[#This Row],[Sum of New TB]]</f>
        <v>0</v>
      </c>
    </row>
    <row r="621" customHeight="1" spans="2:16">
      <c r="B621" s="8" t="s">
        <v>788</v>
      </c>
      <c r="C621" s="9" t="s">
        <v>69</v>
      </c>
      <c r="D621" s="1">
        <v>-35130.84</v>
      </c>
      <c r="E621" s="9"/>
      <c r="G621" s="1" t="s">
        <v>762</v>
      </c>
      <c r="H621" s="1" t="s">
        <v>228</v>
      </c>
      <c r="I621" s="2">
        <v>-33417.91</v>
      </c>
      <c r="J621" s="2">
        <v>-33417.91</v>
      </c>
      <c r="L621" s="12" t="s">
        <v>765</v>
      </c>
      <c r="M621" s="9" t="s">
        <v>228</v>
      </c>
      <c r="N621" s="21">
        <v>-51883.32</v>
      </c>
      <c r="O621" s="22">
        <v>-51883.32</v>
      </c>
      <c r="P621" s="23">
        <f>Table2[[#This Row],[Sum of Old TB]]-Table2[[#This Row],[Sum of New TB]]</f>
        <v>0</v>
      </c>
    </row>
    <row r="622" customHeight="1" spans="2:16">
      <c r="B622" s="8" t="s">
        <v>789</v>
      </c>
      <c r="C622" s="9" t="s">
        <v>107</v>
      </c>
      <c r="D622" s="1">
        <v>22803.26</v>
      </c>
      <c r="E622" s="9"/>
      <c r="G622" s="1" t="s">
        <v>763</v>
      </c>
      <c r="H622" s="1" t="s">
        <v>63</v>
      </c>
      <c r="I622" s="2">
        <v>-20</v>
      </c>
      <c r="J622" s="2">
        <v>-20</v>
      </c>
      <c r="L622" s="12" t="s">
        <v>766</v>
      </c>
      <c r="M622" s="9" t="s">
        <v>69</v>
      </c>
      <c r="N622" s="21">
        <v>-66617.32</v>
      </c>
      <c r="O622" s="22">
        <v>-66617.32</v>
      </c>
      <c r="P622" s="23">
        <f>Table2[[#This Row],[Sum of Old TB]]-Table2[[#This Row],[Sum of New TB]]</f>
        <v>0</v>
      </c>
    </row>
    <row r="623" customHeight="1" spans="2:16">
      <c r="B623" s="8" t="s">
        <v>790</v>
      </c>
      <c r="C623" s="9" t="s">
        <v>109</v>
      </c>
      <c r="D623" s="1">
        <v>2031.91</v>
      </c>
      <c r="E623" s="9"/>
      <c r="G623" s="1" t="s">
        <v>764</v>
      </c>
      <c r="H623" s="1" t="s">
        <v>40</v>
      </c>
      <c r="I623" s="2">
        <v>51883.32</v>
      </c>
      <c r="J623" s="2">
        <v>51883.32</v>
      </c>
      <c r="L623" s="12" t="s">
        <v>767</v>
      </c>
      <c r="M623" s="9" t="s">
        <v>117</v>
      </c>
      <c r="N623" s="21">
        <v>7500</v>
      </c>
      <c r="O623" s="22">
        <v>7500</v>
      </c>
      <c r="P623" s="23">
        <f>Table2[[#This Row],[Sum of Old TB]]-Table2[[#This Row],[Sum of New TB]]</f>
        <v>0</v>
      </c>
    </row>
    <row r="624" customHeight="1" spans="2:16">
      <c r="B624" s="8" t="s">
        <v>791</v>
      </c>
      <c r="C624" s="9" t="s">
        <v>111</v>
      </c>
      <c r="D624" s="1">
        <v>1472.78</v>
      </c>
      <c r="E624" s="9"/>
      <c r="G624" s="1" t="s">
        <v>765</v>
      </c>
      <c r="H624" s="1" t="s">
        <v>228</v>
      </c>
      <c r="I624" s="2">
        <v>-51883.32</v>
      </c>
      <c r="J624" s="2">
        <v>-51883.32</v>
      </c>
      <c r="L624" s="12" t="s">
        <v>768</v>
      </c>
      <c r="M624" s="9" t="s">
        <v>218</v>
      </c>
      <c r="N624" s="21">
        <v>59117.32</v>
      </c>
      <c r="O624" s="22">
        <v>59117.32</v>
      </c>
      <c r="P624" s="23">
        <f>Table2[[#This Row],[Sum of Old TB]]-Table2[[#This Row],[Sum of New TB]]</f>
        <v>0</v>
      </c>
    </row>
    <row r="625" customHeight="1" spans="2:16">
      <c r="B625" s="8" t="s">
        <v>792</v>
      </c>
      <c r="C625" s="9" t="s">
        <v>153</v>
      </c>
      <c r="D625" s="1">
        <v>3722.66</v>
      </c>
      <c r="E625" s="9"/>
      <c r="G625" s="1" t="s">
        <v>766</v>
      </c>
      <c r="H625" s="1" t="s">
        <v>69</v>
      </c>
      <c r="I625" s="2">
        <v>-66617.32</v>
      </c>
      <c r="J625" s="2">
        <v>-66617.32</v>
      </c>
      <c r="L625" s="12" t="s">
        <v>769</v>
      </c>
      <c r="M625" s="9" t="s">
        <v>40</v>
      </c>
      <c r="N625" s="21">
        <v>1505.01</v>
      </c>
      <c r="O625" s="22">
        <v>1749.79</v>
      </c>
      <c r="P625" s="23">
        <f>Table2[[#This Row],[Sum of Old TB]]-Table2[[#This Row],[Sum of New TB]]</f>
        <v>-244.78</v>
      </c>
    </row>
    <row r="626" customHeight="1" spans="2:16">
      <c r="B626" s="8" t="s">
        <v>793</v>
      </c>
      <c r="C626" s="9" t="s">
        <v>175</v>
      </c>
      <c r="D626" s="1">
        <v>231.12</v>
      </c>
      <c r="E626" s="9"/>
      <c r="G626" s="1" t="s">
        <v>767</v>
      </c>
      <c r="H626" s="1" t="s">
        <v>117</v>
      </c>
      <c r="I626" s="2">
        <v>7500</v>
      </c>
      <c r="J626" s="2">
        <v>7500</v>
      </c>
      <c r="L626" s="12" t="s">
        <v>770</v>
      </c>
      <c r="M626" s="9" t="s">
        <v>228</v>
      </c>
      <c r="N626" s="21">
        <v>-1505.01</v>
      </c>
      <c r="O626" s="22">
        <v>-1749.79</v>
      </c>
      <c r="P626" s="23">
        <f>Table2[[#This Row],[Sum of Old TB]]-Table2[[#This Row],[Sum of New TB]]</f>
        <v>244.78</v>
      </c>
    </row>
    <row r="627" customHeight="1" spans="2:16">
      <c r="B627" s="8" t="s">
        <v>794</v>
      </c>
      <c r="C627" s="9" t="s">
        <v>275</v>
      </c>
      <c r="D627" s="1">
        <v>4869.11</v>
      </c>
      <c r="E627" s="9"/>
      <c r="G627" s="1" t="s">
        <v>768</v>
      </c>
      <c r="H627" s="1" t="s">
        <v>218</v>
      </c>
      <c r="I627" s="2">
        <v>59117.32</v>
      </c>
      <c r="J627" s="2">
        <v>59117.32</v>
      </c>
      <c r="L627" s="12" t="s">
        <v>771</v>
      </c>
      <c r="M627" s="9" t="s">
        <v>69</v>
      </c>
      <c r="N627" s="21">
        <v>-17566.14</v>
      </c>
      <c r="O627" s="22">
        <v>-17321.36</v>
      </c>
      <c r="P627" s="23">
        <f>Table2[[#This Row],[Sum of Old TB]]-Table2[[#This Row],[Sum of New TB]]</f>
        <v>-244.779999999999</v>
      </c>
    </row>
    <row r="628" customHeight="1" spans="2:16">
      <c r="B628" s="8" t="s">
        <v>795</v>
      </c>
      <c r="C628" s="9" t="s">
        <v>277</v>
      </c>
      <c r="D628" s="1">
        <v>1815.07</v>
      </c>
      <c r="E628" s="9"/>
      <c r="G628" s="1" t="s">
        <v>769</v>
      </c>
      <c r="H628" s="1" t="s">
        <v>40</v>
      </c>
      <c r="I628" s="2">
        <v>1505.01</v>
      </c>
      <c r="J628" s="2">
        <v>1749.79</v>
      </c>
      <c r="L628" s="12" t="s">
        <v>772</v>
      </c>
      <c r="M628" s="9" t="s">
        <v>121</v>
      </c>
      <c r="N628" s="21">
        <v>15800</v>
      </c>
      <c r="O628" s="22">
        <v>17321.36</v>
      </c>
      <c r="P628" s="23">
        <f>Table2[[#This Row],[Sum of Old TB]]-Table2[[#This Row],[Sum of New TB]]</f>
        <v>-1521.36</v>
      </c>
    </row>
    <row r="629" customHeight="1" spans="2:16">
      <c r="B629" s="8" t="s">
        <v>796</v>
      </c>
      <c r="C629" s="9" t="s">
        <v>40</v>
      </c>
      <c r="D629" s="1">
        <v>-1815.07</v>
      </c>
      <c r="E629" s="9"/>
      <c r="G629" s="1" t="s">
        <v>770</v>
      </c>
      <c r="H629" s="1" t="s">
        <v>228</v>
      </c>
      <c r="I629" s="2">
        <v>-1505.01</v>
      </c>
      <c r="J629" s="2">
        <v>-1749.79</v>
      </c>
      <c r="L629" s="12" t="s">
        <v>773</v>
      </c>
      <c r="M629" s="9" t="s">
        <v>175</v>
      </c>
      <c r="N629" s="21">
        <v>1521.36</v>
      </c>
      <c r="O629" s="22"/>
      <c r="P629" s="23">
        <f>Table2[[#This Row],[Sum of Old TB]]-Table2[[#This Row],[Sum of New TB]]</f>
        <v>1521.36</v>
      </c>
    </row>
    <row r="630" customHeight="1" spans="2:16">
      <c r="B630" s="8" t="s">
        <v>797</v>
      </c>
      <c r="C630" s="9" t="s">
        <v>69</v>
      </c>
      <c r="D630" s="1">
        <v>-160923.1</v>
      </c>
      <c r="E630" s="9"/>
      <c r="G630" s="1" t="s">
        <v>771</v>
      </c>
      <c r="H630" s="1" t="s">
        <v>69</v>
      </c>
      <c r="I630" s="2">
        <v>-17566.14</v>
      </c>
      <c r="J630" s="2">
        <v>-17321.36</v>
      </c>
      <c r="L630" s="12" t="s">
        <v>774</v>
      </c>
      <c r="M630" s="9" t="s">
        <v>275</v>
      </c>
      <c r="N630" s="21">
        <v>244.78</v>
      </c>
      <c r="O630" s="22"/>
      <c r="P630" s="23">
        <f>Table2[[#This Row],[Sum of Old TB]]-Table2[[#This Row],[Sum of New TB]]</f>
        <v>244.78</v>
      </c>
    </row>
    <row r="631" customHeight="1" spans="2:16">
      <c r="B631" s="8" t="s">
        <v>798</v>
      </c>
      <c r="C631" s="9" t="s">
        <v>107</v>
      </c>
      <c r="D631" s="1">
        <v>50619</v>
      </c>
      <c r="E631" s="9"/>
      <c r="G631" s="1" t="s">
        <v>772</v>
      </c>
      <c r="H631" s="1" t="s">
        <v>121</v>
      </c>
      <c r="I631" s="2">
        <v>15800</v>
      </c>
      <c r="J631" s="2">
        <v>17321.36</v>
      </c>
      <c r="L631" s="12" t="s">
        <v>775</v>
      </c>
      <c r="M631" s="9" t="s">
        <v>277</v>
      </c>
      <c r="N631" s="21">
        <v>16011.84</v>
      </c>
      <c r="O631" s="22">
        <v>16011.84</v>
      </c>
      <c r="P631" s="23">
        <f>Table2[[#This Row],[Sum of Old TB]]-Table2[[#This Row],[Sum of New TB]]</f>
        <v>0</v>
      </c>
    </row>
    <row r="632" customHeight="1" spans="2:16">
      <c r="B632" s="8" t="s">
        <v>799</v>
      </c>
      <c r="C632" s="9" t="s">
        <v>109</v>
      </c>
      <c r="D632" s="1">
        <v>4321.06</v>
      </c>
      <c r="E632" s="9"/>
      <c r="G632" s="1" t="s">
        <v>773</v>
      </c>
      <c r="H632" s="1" t="s">
        <v>175</v>
      </c>
      <c r="I632" s="2">
        <v>1521.36</v>
      </c>
      <c r="L632" s="12" t="s">
        <v>776</v>
      </c>
      <c r="M632" s="9" t="s">
        <v>40</v>
      </c>
      <c r="N632" s="21">
        <v>-15491.6</v>
      </c>
      <c r="O632" s="22">
        <v>-15491.6</v>
      </c>
      <c r="P632" s="23">
        <f>Table2[[#This Row],[Sum of Old TB]]-Table2[[#This Row],[Sum of New TB]]</f>
        <v>0</v>
      </c>
    </row>
    <row r="633" customHeight="1" spans="2:16">
      <c r="B633" s="8" t="s">
        <v>800</v>
      </c>
      <c r="C633" s="9" t="s">
        <v>111</v>
      </c>
      <c r="D633" s="1">
        <v>2853.98</v>
      </c>
      <c r="E633" s="9"/>
      <c r="G633" s="1" t="s">
        <v>774</v>
      </c>
      <c r="H633" s="1" t="s">
        <v>275</v>
      </c>
      <c r="I633" s="2">
        <v>244.78</v>
      </c>
      <c r="L633" s="12" t="s">
        <v>777</v>
      </c>
      <c r="M633" s="9" t="s">
        <v>42</v>
      </c>
      <c r="N633" s="21">
        <v>-520.24</v>
      </c>
      <c r="O633" s="22">
        <v>-520.24</v>
      </c>
      <c r="P633" s="23">
        <f>Table2[[#This Row],[Sum of Old TB]]-Table2[[#This Row],[Sum of New TB]]</f>
        <v>0</v>
      </c>
    </row>
    <row r="634" customHeight="1" spans="2:16">
      <c r="B634" s="8" t="s">
        <v>801</v>
      </c>
      <c r="C634" s="9" t="s">
        <v>129</v>
      </c>
      <c r="D634" s="1">
        <v>904.3</v>
      </c>
      <c r="E634" s="9"/>
      <c r="G634" s="1" t="s">
        <v>775</v>
      </c>
      <c r="H634" s="1" t="s">
        <v>277</v>
      </c>
      <c r="I634" s="2">
        <v>16011.84</v>
      </c>
      <c r="J634" s="2">
        <v>16011.84</v>
      </c>
      <c r="L634" s="12" t="s">
        <v>778</v>
      </c>
      <c r="M634" s="9" t="s">
        <v>69</v>
      </c>
      <c r="N634" s="21">
        <v>-121441.84</v>
      </c>
      <c r="O634" s="22">
        <v>-121441.84</v>
      </c>
      <c r="P634" s="23">
        <f>Table2[[#This Row],[Sum of Old TB]]-Table2[[#This Row],[Sum of New TB]]</f>
        <v>0</v>
      </c>
    </row>
    <row r="635" customHeight="1" spans="2:16">
      <c r="B635" s="8" t="s">
        <v>802</v>
      </c>
      <c r="C635" s="9" t="s">
        <v>131</v>
      </c>
      <c r="D635" s="1">
        <v>276</v>
      </c>
      <c r="E635" s="9"/>
      <c r="G635" s="1" t="s">
        <v>776</v>
      </c>
      <c r="H635" s="1" t="s">
        <v>40</v>
      </c>
      <c r="I635" s="2">
        <v>-15491.6</v>
      </c>
      <c r="J635" s="2">
        <v>-15491.6</v>
      </c>
      <c r="L635" s="12" t="s">
        <v>779</v>
      </c>
      <c r="M635" s="9" t="s">
        <v>107</v>
      </c>
      <c r="N635" s="21">
        <v>81730.79</v>
      </c>
      <c r="O635" s="22">
        <v>81730.79</v>
      </c>
      <c r="P635" s="23">
        <f>Table2[[#This Row],[Sum of Old TB]]-Table2[[#This Row],[Sum of New TB]]</f>
        <v>0</v>
      </c>
    </row>
    <row r="636" customHeight="1" spans="2:16">
      <c r="B636" s="8" t="s">
        <v>803</v>
      </c>
      <c r="C636" s="9" t="s">
        <v>145</v>
      </c>
      <c r="D636" s="1">
        <v>89294</v>
      </c>
      <c r="E636" s="9"/>
      <c r="G636" s="1" t="s">
        <v>777</v>
      </c>
      <c r="H636" s="1" t="s">
        <v>42</v>
      </c>
      <c r="I636" s="2">
        <v>-520.24</v>
      </c>
      <c r="J636" s="2">
        <v>-520.24</v>
      </c>
      <c r="L636" s="12" t="s">
        <v>780</v>
      </c>
      <c r="M636" s="9" t="s">
        <v>109</v>
      </c>
      <c r="N636" s="21">
        <v>6358.27</v>
      </c>
      <c r="O636" s="22">
        <v>6358.27</v>
      </c>
      <c r="P636" s="23">
        <f>Table2[[#This Row],[Sum of Old TB]]-Table2[[#This Row],[Sum of New TB]]</f>
        <v>0</v>
      </c>
    </row>
    <row r="637" customHeight="1" spans="2:16">
      <c r="B637" s="8" t="s">
        <v>804</v>
      </c>
      <c r="C637" s="9" t="s">
        <v>175</v>
      </c>
      <c r="D637" s="1">
        <v>1527.02</v>
      </c>
      <c r="E637" s="9"/>
      <c r="G637" s="1" t="s">
        <v>778</v>
      </c>
      <c r="H637" s="1" t="s">
        <v>69</v>
      </c>
      <c r="I637" s="2">
        <v>-121441.84</v>
      </c>
      <c r="J637" s="2">
        <v>-121441.84</v>
      </c>
      <c r="L637" s="12" t="s">
        <v>781</v>
      </c>
      <c r="M637" s="9" t="s">
        <v>111</v>
      </c>
      <c r="N637" s="21">
        <v>13197.29</v>
      </c>
      <c r="O637" s="22">
        <v>13197.29</v>
      </c>
      <c r="P637" s="23">
        <f>Table2[[#This Row],[Sum of Old TB]]-Table2[[#This Row],[Sum of New TB]]</f>
        <v>0</v>
      </c>
    </row>
    <row r="638" customHeight="1" spans="2:16">
      <c r="B638" s="8" t="s">
        <v>805</v>
      </c>
      <c r="C638" s="9" t="s">
        <v>177</v>
      </c>
      <c r="D638" s="1">
        <v>1200</v>
      </c>
      <c r="E638" s="9"/>
      <c r="G638" s="1" t="s">
        <v>779</v>
      </c>
      <c r="H638" s="1" t="s">
        <v>107</v>
      </c>
      <c r="I638" s="2">
        <v>81730.79</v>
      </c>
      <c r="J638" s="2">
        <v>81730.79</v>
      </c>
      <c r="L638" s="12" t="s">
        <v>782</v>
      </c>
      <c r="M638" s="9" t="s">
        <v>129</v>
      </c>
      <c r="N638" s="21">
        <v>1500.55</v>
      </c>
      <c r="O638" s="22">
        <v>1500.55</v>
      </c>
      <c r="P638" s="23">
        <f>Table2[[#This Row],[Sum of Old TB]]-Table2[[#This Row],[Sum of New TB]]</f>
        <v>0</v>
      </c>
    </row>
    <row r="639" customHeight="1" spans="2:16">
      <c r="B639" s="8" t="s">
        <v>806</v>
      </c>
      <c r="C639" s="9" t="s">
        <v>275</v>
      </c>
      <c r="D639" s="1">
        <v>9927.74</v>
      </c>
      <c r="E639" s="9"/>
      <c r="G639" s="1" t="s">
        <v>780</v>
      </c>
      <c r="H639" s="1" t="s">
        <v>109</v>
      </c>
      <c r="I639" s="2">
        <v>6358.27</v>
      </c>
      <c r="J639" s="2">
        <v>6358.27</v>
      </c>
      <c r="L639" s="12" t="s">
        <v>783</v>
      </c>
      <c r="M639" s="9" t="s">
        <v>131</v>
      </c>
      <c r="N639" s="21">
        <v>276</v>
      </c>
      <c r="O639" s="22">
        <v>276</v>
      </c>
      <c r="P639" s="23">
        <f>Table2[[#This Row],[Sum of Old TB]]-Table2[[#This Row],[Sum of New TB]]</f>
        <v>0</v>
      </c>
    </row>
    <row r="640" customHeight="1" spans="2:16">
      <c r="B640" s="8" t="s">
        <v>807</v>
      </c>
      <c r="C640" s="9" t="s">
        <v>40</v>
      </c>
      <c r="D640" s="1">
        <v>11192.54</v>
      </c>
      <c r="E640" s="9"/>
      <c r="G640" s="1" t="s">
        <v>781</v>
      </c>
      <c r="H640" s="1" t="s">
        <v>111</v>
      </c>
      <c r="I640" s="2">
        <v>13197.29</v>
      </c>
      <c r="J640" s="2">
        <v>13197.29</v>
      </c>
      <c r="L640" s="12" t="s">
        <v>784</v>
      </c>
      <c r="M640" s="9" t="s">
        <v>153</v>
      </c>
      <c r="N640" s="21">
        <v>1547.18</v>
      </c>
      <c r="O640" s="22">
        <v>1547.18</v>
      </c>
      <c r="P640" s="23">
        <f>Table2[[#This Row],[Sum of Old TB]]-Table2[[#This Row],[Sum of New TB]]</f>
        <v>0</v>
      </c>
    </row>
    <row r="641" customHeight="1" spans="2:16">
      <c r="B641" s="8" t="s">
        <v>808</v>
      </c>
      <c r="C641" s="9" t="s">
        <v>228</v>
      </c>
      <c r="D641" s="1">
        <v>-11192.54</v>
      </c>
      <c r="E641" s="9"/>
      <c r="G641" s="1" t="s">
        <v>782</v>
      </c>
      <c r="H641" s="1" t="s">
        <v>129</v>
      </c>
      <c r="I641" s="2">
        <v>1500.55</v>
      </c>
      <c r="J641" s="2">
        <v>1500.55</v>
      </c>
      <c r="L641" s="12" t="s">
        <v>785</v>
      </c>
      <c r="M641" s="9" t="s">
        <v>275</v>
      </c>
      <c r="N641" s="21">
        <v>16831.76</v>
      </c>
      <c r="O641" s="22">
        <v>16831.76</v>
      </c>
      <c r="P641" s="23">
        <f>Table2[[#This Row],[Sum of Old TB]]-Table2[[#This Row],[Sum of New TB]]</f>
        <v>0</v>
      </c>
    </row>
    <row r="642" customHeight="1" spans="2:16">
      <c r="B642" s="8" t="s">
        <v>809</v>
      </c>
      <c r="C642" s="9" t="s">
        <v>69</v>
      </c>
      <c r="D642" s="1">
        <v>-70753.46</v>
      </c>
      <c r="E642" s="9"/>
      <c r="G642" s="1" t="s">
        <v>783</v>
      </c>
      <c r="H642" s="1" t="s">
        <v>131</v>
      </c>
      <c r="I642" s="2">
        <v>276</v>
      </c>
      <c r="J642" s="2">
        <v>276</v>
      </c>
      <c r="L642" s="12" t="s">
        <v>786</v>
      </c>
      <c r="M642" s="9" t="s">
        <v>40</v>
      </c>
      <c r="N642" s="21">
        <v>298.64</v>
      </c>
      <c r="O642" s="22">
        <v>298.64</v>
      </c>
      <c r="P642" s="23">
        <f>Table2[[#This Row],[Sum of Old TB]]-Table2[[#This Row],[Sum of New TB]]</f>
        <v>0</v>
      </c>
    </row>
    <row r="643" customHeight="1" spans="2:16">
      <c r="B643" s="8" t="s">
        <v>810</v>
      </c>
      <c r="C643" s="9" t="s">
        <v>107</v>
      </c>
      <c r="D643" s="1">
        <v>60745</v>
      </c>
      <c r="E643" s="9"/>
      <c r="G643" s="1" t="s">
        <v>784</v>
      </c>
      <c r="H643" s="1" t="s">
        <v>153</v>
      </c>
      <c r="I643" s="2">
        <v>1547.18</v>
      </c>
      <c r="J643" s="2">
        <v>1547.18</v>
      </c>
      <c r="L643" s="12" t="s">
        <v>787</v>
      </c>
      <c r="M643" s="9" t="s">
        <v>228</v>
      </c>
      <c r="N643" s="21">
        <v>-298.64</v>
      </c>
      <c r="O643" s="22">
        <v>-298.64</v>
      </c>
      <c r="P643" s="23">
        <f>Table2[[#This Row],[Sum of Old TB]]-Table2[[#This Row],[Sum of New TB]]</f>
        <v>0</v>
      </c>
    </row>
    <row r="644" customHeight="1" spans="2:16">
      <c r="B644" s="8" t="s">
        <v>811</v>
      </c>
      <c r="C644" s="9" t="s">
        <v>109</v>
      </c>
      <c r="D644" s="1">
        <v>5706.72</v>
      </c>
      <c r="E644" s="9"/>
      <c r="G644" s="1" t="s">
        <v>785</v>
      </c>
      <c r="H644" s="1" t="s">
        <v>275</v>
      </c>
      <c r="I644" s="2">
        <v>16831.76</v>
      </c>
      <c r="J644" s="2">
        <v>16831.76</v>
      </c>
      <c r="L644" s="12" t="s">
        <v>788</v>
      </c>
      <c r="M644" s="9" t="s">
        <v>69</v>
      </c>
      <c r="N644" s="21">
        <v>-35130.84</v>
      </c>
      <c r="O644" s="22">
        <v>-35130.84</v>
      </c>
      <c r="P644" s="23">
        <f>Table2[[#This Row],[Sum of Old TB]]-Table2[[#This Row],[Sum of New TB]]</f>
        <v>0</v>
      </c>
    </row>
    <row r="645" customHeight="1" spans="2:16">
      <c r="B645" s="8" t="s">
        <v>812</v>
      </c>
      <c r="C645" s="9" t="s">
        <v>125</v>
      </c>
      <c r="D645" s="1">
        <v>7.43</v>
      </c>
      <c r="E645" s="9"/>
      <c r="G645" s="1" t="s">
        <v>786</v>
      </c>
      <c r="H645" s="1" t="s">
        <v>40</v>
      </c>
      <c r="I645" s="2">
        <v>298.64</v>
      </c>
      <c r="J645" s="2">
        <v>298.64</v>
      </c>
      <c r="L645" s="12" t="s">
        <v>789</v>
      </c>
      <c r="M645" s="9" t="s">
        <v>107</v>
      </c>
      <c r="N645" s="21">
        <v>22803.26</v>
      </c>
      <c r="O645" s="22">
        <v>22803.26</v>
      </c>
      <c r="P645" s="23">
        <f>Table2[[#This Row],[Sum of Old TB]]-Table2[[#This Row],[Sum of New TB]]</f>
        <v>0</v>
      </c>
    </row>
    <row r="646" customHeight="1" spans="2:16">
      <c r="B646" s="8" t="s">
        <v>813</v>
      </c>
      <c r="C646" s="9" t="s">
        <v>129</v>
      </c>
      <c r="D646" s="1">
        <v>1065.69</v>
      </c>
      <c r="E646" s="9"/>
      <c r="G646" s="1" t="s">
        <v>787</v>
      </c>
      <c r="H646" s="1" t="s">
        <v>228</v>
      </c>
      <c r="I646" s="2">
        <v>-298.64</v>
      </c>
      <c r="J646" s="2">
        <v>-298.64</v>
      </c>
      <c r="L646" s="12" t="s">
        <v>790</v>
      </c>
      <c r="M646" s="9" t="s">
        <v>109</v>
      </c>
      <c r="N646" s="21">
        <v>2031.91</v>
      </c>
      <c r="O646" s="22">
        <v>2031.91</v>
      </c>
      <c r="P646" s="23">
        <f>Table2[[#This Row],[Sum of Old TB]]-Table2[[#This Row],[Sum of New TB]]</f>
        <v>0</v>
      </c>
    </row>
    <row r="647" customHeight="1" spans="2:16">
      <c r="B647" s="8" t="s">
        <v>814</v>
      </c>
      <c r="C647" s="9" t="s">
        <v>171</v>
      </c>
      <c r="D647" s="1">
        <v>1643.05</v>
      </c>
      <c r="E647" s="9"/>
      <c r="G647" s="1" t="s">
        <v>788</v>
      </c>
      <c r="H647" s="1" t="s">
        <v>69</v>
      </c>
      <c r="I647" s="2">
        <v>-35130.84</v>
      </c>
      <c r="J647" s="2">
        <v>-35130.84</v>
      </c>
      <c r="L647" s="12" t="s">
        <v>791</v>
      </c>
      <c r="M647" s="9" t="s">
        <v>111</v>
      </c>
      <c r="N647" s="21">
        <v>1472.78</v>
      </c>
      <c r="O647" s="22">
        <v>1472.78</v>
      </c>
      <c r="P647" s="23">
        <f>Table2[[#This Row],[Sum of Old TB]]-Table2[[#This Row],[Sum of New TB]]</f>
        <v>0</v>
      </c>
    </row>
    <row r="648" customHeight="1" spans="2:16">
      <c r="B648" s="8" t="s">
        <v>815</v>
      </c>
      <c r="C648" s="9" t="s">
        <v>175</v>
      </c>
      <c r="D648" s="1">
        <v>1585.57</v>
      </c>
      <c r="E648" s="9"/>
      <c r="G648" s="1" t="s">
        <v>789</v>
      </c>
      <c r="H648" s="1" t="s">
        <v>107</v>
      </c>
      <c r="I648" s="2">
        <v>22803.26</v>
      </c>
      <c r="J648" s="2">
        <v>22803.26</v>
      </c>
      <c r="L648" s="12" t="s">
        <v>792</v>
      </c>
      <c r="M648" s="9" t="s">
        <v>153</v>
      </c>
      <c r="N648" s="21">
        <v>3722.66</v>
      </c>
      <c r="O648" s="22">
        <v>3722.66</v>
      </c>
      <c r="P648" s="23">
        <f>Table2[[#This Row],[Sum of Old TB]]-Table2[[#This Row],[Sum of New TB]]</f>
        <v>0</v>
      </c>
    </row>
    <row r="649" customHeight="1" spans="2:16">
      <c r="B649" s="8" t="s">
        <v>816</v>
      </c>
      <c r="C649" s="9" t="s">
        <v>40</v>
      </c>
      <c r="D649" s="1">
        <v>18828.48</v>
      </c>
      <c r="E649" s="9"/>
      <c r="G649" s="1" t="s">
        <v>790</v>
      </c>
      <c r="H649" s="1" t="s">
        <v>109</v>
      </c>
      <c r="I649" s="2">
        <v>2031.91</v>
      </c>
      <c r="J649" s="2">
        <v>2031.91</v>
      </c>
      <c r="L649" s="12" t="s">
        <v>793</v>
      </c>
      <c r="M649" s="9" t="s">
        <v>175</v>
      </c>
      <c r="N649" s="21">
        <v>231.12</v>
      </c>
      <c r="O649" s="22">
        <v>231.12</v>
      </c>
      <c r="P649" s="23">
        <f>Table2[[#This Row],[Sum of Old TB]]-Table2[[#This Row],[Sum of New TB]]</f>
        <v>0</v>
      </c>
    </row>
    <row r="650" customHeight="1" spans="2:16">
      <c r="B650" s="8" t="s">
        <v>817</v>
      </c>
      <c r="C650" s="9" t="s">
        <v>228</v>
      </c>
      <c r="D650" s="1">
        <v>-18828.48</v>
      </c>
      <c r="E650" s="9"/>
      <c r="G650" s="1" t="s">
        <v>791</v>
      </c>
      <c r="H650" s="1" t="s">
        <v>111</v>
      </c>
      <c r="I650" s="2">
        <v>1472.78</v>
      </c>
      <c r="J650" s="2">
        <v>1472.78</v>
      </c>
      <c r="L650" s="12" t="s">
        <v>794</v>
      </c>
      <c r="M650" s="9" t="s">
        <v>275</v>
      </c>
      <c r="N650" s="21">
        <v>4869.11</v>
      </c>
      <c r="O650" s="22">
        <v>4869.11</v>
      </c>
      <c r="P650" s="23">
        <f>Table2[[#This Row],[Sum of Old TB]]-Table2[[#This Row],[Sum of New TB]]</f>
        <v>0</v>
      </c>
    </row>
    <row r="651" customHeight="1" spans="2:16">
      <c r="B651" s="8" t="s">
        <v>818</v>
      </c>
      <c r="C651" s="9" t="s">
        <v>69</v>
      </c>
      <c r="D651" s="1">
        <v>-13709.52</v>
      </c>
      <c r="E651" s="9"/>
      <c r="G651" s="1" t="s">
        <v>792</v>
      </c>
      <c r="H651" s="1" t="s">
        <v>153</v>
      </c>
      <c r="I651" s="2">
        <v>3722.66</v>
      </c>
      <c r="J651" s="2">
        <v>3722.66</v>
      </c>
      <c r="L651" s="12" t="s">
        <v>795</v>
      </c>
      <c r="M651" s="9" t="s">
        <v>277</v>
      </c>
      <c r="N651" s="21">
        <v>1815.07</v>
      </c>
      <c r="O651" s="22">
        <v>-126.04</v>
      </c>
      <c r="P651" s="23">
        <f>Table2[[#This Row],[Sum of Old TB]]-Table2[[#This Row],[Sum of New TB]]</f>
        <v>1941.11</v>
      </c>
    </row>
    <row r="652" customHeight="1" spans="2:16">
      <c r="B652" s="8" t="s">
        <v>819</v>
      </c>
      <c r="C652" s="9" t="s">
        <v>113</v>
      </c>
      <c r="D652" s="1">
        <v>12690.5</v>
      </c>
      <c r="E652" s="9"/>
      <c r="G652" s="1" t="s">
        <v>793</v>
      </c>
      <c r="H652" s="1" t="s">
        <v>175</v>
      </c>
      <c r="I652" s="2">
        <v>231.12</v>
      </c>
      <c r="J652" s="2">
        <v>231.12</v>
      </c>
      <c r="L652" s="12" t="s">
        <v>796</v>
      </c>
      <c r="M652" s="9" t="s">
        <v>40</v>
      </c>
      <c r="N652" s="21">
        <v>-1815.07</v>
      </c>
      <c r="O652" s="22">
        <v>126.04</v>
      </c>
      <c r="P652" s="23">
        <f>Table2[[#This Row],[Sum of Old TB]]-Table2[[#This Row],[Sum of New TB]]</f>
        <v>-1941.11</v>
      </c>
    </row>
    <row r="653" customHeight="1" spans="2:16">
      <c r="B653" s="8" t="s">
        <v>820</v>
      </c>
      <c r="C653" s="9" t="s">
        <v>175</v>
      </c>
      <c r="D653" s="1">
        <v>543.28</v>
      </c>
      <c r="E653" s="9"/>
      <c r="G653" s="1" t="s">
        <v>794</v>
      </c>
      <c r="H653" s="1" t="s">
        <v>275</v>
      </c>
      <c r="I653" s="2">
        <v>4869.11</v>
      </c>
      <c r="J653" s="2">
        <v>4869.11</v>
      </c>
      <c r="L653" s="12" t="s">
        <v>797</v>
      </c>
      <c r="M653" s="9" t="s">
        <v>69</v>
      </c>
      <c r="N653" s="21">
        <v>-160923.1</v>
      </c>
      <c r="O653" s="22">
        <v>-158981.99</v>
      </c>
      <c r="P653" s="23">
        <f>Table2[[#This Row],[Sum of Old TB]]-Table2[[#This Row],[Sum of New TB]]</f>
        <v>-1941.11000000002</v>
      </c>
    </row>
    <row r="654" customHeight="1" spans="2:16">
      <c r="B654" s="8" t="s">
        <v>821</v>
      </c>
      <c r="C654" s="9" t="s">
        <v>179</v>
      </c>
      <c r="D654" s="1">
        <v>136.47</v>
      </c>
      <c r="E654" s="9"/>
      <c r="G654" s="1" t="s">
        <v>795</v>
      </c>
      <c r="H654" s="1" t="s">
        <v>277</v>
      </c>
      <c r="I654" s="2">
        <v>1815.07</v>
      </c>
      <c r="J654" s="2">
        <v>-126.04</v>
      </c>
      <c r="L654" s="12" t="s">
        <v>798</v>
      </c>
      <c r="M654" s="9" t="s">
        <v>107</v>
      </c>
      <c r="N654" s="21">
        <v>50619</v>
      </c>
      <c r="O654" s="22">
        <v>48819</v>
      </c>
      <c r="P654" s="23">
        <f>Table2[[#This Row],[Sum of Old TB]]-Table2[[#This Row],[Sum of New TB]]</f>
        <v>1800</v>
      </c>
    </row>
    <row r="655" customHeight="1" spans="2:16">
      <c r="B655" s="8" t="s">
        <v>822</v>
      </c>
      <c r="C655" s="9" t="s">
        <v>197</v>
      </c>
      <c r="D655" s="1">
        <v>339.27</v>
      </c>
      <c r="E655" s="9"/>
      <c r="G655" s="1" t="s">
        <v>796</v>
      </c>
      <c r="H655" s="1" t="s">
        <v>40</v>
      </c>
      <c r="I655" s="2">
        <v>-1815.07</v>
      </c>
      <c r="J655" s="2">
        <v>126.04</v>
      </c>
      <c r="L655" s="12" t="s">
        <v>799</v>
      </c>
      <c r="M655" s="9" t="s">
        <v>109</v>
      </c>
      <c r="N655" s="21">
        <v>4321.06</v>
      </c>
      <c r="O655" s="22">
        <v>4179.95</v>
      </c>
      <c r="P655" s="23">
        <f>Table2[[#This Row],[Sum of Old TB]]-Table2[[#This Row],[Sum of New TB]]</f>
        <v>141.110000000001</v>
      </c>
    </row>
    <row r="656" customHeight="1" spans="2:16">
      <c r="B656" s="8" t="s">
        <v>823</v>
      </c>
      <c r="C656" s="9" t="s">
        <v>40</v>
      </c>
      <c r="D656" s="1">
        <v>2656.76</v>
      </c>
      <c r="E656" s="9"/>
      <c r="G656" s="1" t="s">
        <v>797</v>
      </c>
      <c r="H656" s="1" t="s">
        <v>69</v>
      </c>
      <c r="I656" s="2">
        <v>-160923.1</v>
      </c>
      <c r="J656" s="2">
        <v>-158981.99</v>
      </c>
      <c r="L656" s="12" t="s">
        <v>800</v>
      </c>
      <c r="M656" s="9" t="s">
        <v>111</v>
      </c>
      <c r="N656" s="21">
        <v>2853.98</v>
      </c>
      <c r="O656" s="22">
        <v>2853.98</v>
      </c>
      <c r="P656" s="23">
        <f>Table2[[#This Row],[Sum of Old TB]]-Table2[[#This Row],[Sum of New TB]]</f>
        <v>0</v>
      </c>
    </row>
    <row r="657" customHeight="1" spans="2:16">
      <c r="B657" s="8" t="s">
        <v>824</v>
      </c>
      <c r="C657" s="9" t="s">
        <v>228</v>
      </c>
      <c r="D657" s="1">
        <v>-2656.76</v>
      </c>
      <c r="E657" s="9"/>
      <c r="G657" s="1" t="s">
        <v>798</v>
      </c>
      <c r="H657" s="1" t="s">
        <v>107</v>
      </c>
      <c r="I657" s="2">
        <v>50619</v>
      </c>
      <c r="J657" s="2">
        <v>48819</v>
      </c>
      <c r="L657" s="12" t="s">
        <v>801</v>
      </c>
      <c r="M657" s="9" t="s">
        <v>129</v>
      </c>
      <c r="N657" s="21">
        <v>904.3</v>
      </c>
      <c r="O657" s="22">
        <v>904.3</v>
      </c>
      <c r="P657" s="23">
        <f>Table2[[#This Row],[Sum of Old TB]]-Table2[[#This Row],[Sum of New TB]]</f>
        <v>0</v>
      </c>
    </row>
    <row r="658" customHeight="1" spans="2:16">
      <c r="B658" s="8" t="s">
        <v>825</v>
      </c>
      <c r="C658" s="9" t="s">
        <v>69</v>
      </c>
      <c r="D658" s="1">
        <v>-37343.24</v>
      </c>
      <c r="E658" s="9"/>
      <c r="G658" s="1" t="s">
        <v>799</v>
      </c>
      <c r="H658" s="1" t="s">
        <v>109</v>
      </c>
      <c r="I658" s="2">
        <v>4321.06</v>
      </c>
      <c r="J658" s="2">
        <v>4179.95</v>
      </c>
      <c r="L658" s="12" t="s">
        <v>802</v>
      </c>
      <c r="M658" s="9" t="s">
        <v>131</v>
      </c>
      <c r="N658" s="21">
        <v>276</v>
      </c>
      <c r="O658" s="22">
        <v>276</v>
      </c>
      <c r="P658" s="23">
        <f>Table2[[#This Row],[Sum of Old TB]]-Table2[[#This Row],[Sum of New TB]]</f>
        <v>0</v>
      </c>
    </row>
    <row r="659" customHeight="1" spans="2:16">
      <c r="B659" s="8" t="s">
        <v>826</v>
      </c>
      <c r="C659" s="9" t="s">
        <v>117</v>
      </c>
      <c r="D659" s="1">
        <v>3000</v>
      </c>
      <c r="E659" s="9"/>
      <c r="G659" s="1" t="s">
        <v>800</v>
      </c>
      <c r="H659" s="1" t="s">
        <v>111</v>
      </c>
      <c r="I659" s="2">
        <v>2853.98</v>
      </c>
      <c r="J659" s="2">
        <v>2853.98</v>
      </c>
      <c r="L659" s="12" t="s">
        <v>803</v>
      </c>
      <c r="M659" s="9" t="s">
        <v>145</v>
      </c>
      <c r="N659" s="21">
        <v>89294</v>
      </c>
      <c r="O659" s="22"/>
      <c r="P659" s="23">
        <f>Table2[[#This Row],[Sum of Old TB]]-Table2[[#This Row],[Sum of New TB]]</f>
        <v>89294</v>
      </c>
    </row>
    <row r="660" customHeight="1" spans="2:16">
      <c r="B660" s="8" t="s">
        <v>827</v>
      </c>
      <c r="C660" s="9" t="s">
        <v>129</v>
      </c>
      <c r="D660" s="1">
        <v>26438.46</v>
      </c>
      <c r="E660" s="9"/>
      <c r="G660" s="1" t="s">
        <v>801</v>
      </c>
      <c r="H660" s="1" t="s">
        <v>129</v>
      </c>
      <c r="I660" s="2">
        <v>904.3</v>
      </c>
      <c r="J660" s="2">
        <v>904.3</v>
      </c>
      <c r="L660" s="12" t="s">
        <v>804</v>
      </c>
      <c r="M660" s="9" t="s">
        <v>175</v>
      </c>
      <c r="N660" s="21">
        <v>1527.02</v>
      </c>
      <c r="O660" s="22">
        <v>1527.02</v>
      </c>
      <c r="P660" s="23">
        <f>Table2[[#This Row],[Sum of Old TB]]-Table2[[#This Row],[Sum of New TB]]</f>
        <v>0</v>
      </c>
    </row>
    <row r="661" customHeight="1" spans="2:16">
      <c r="B661" s="8" t="s">
        <v>828</v>
      </c>
      <c r="C661" s="9" t="s">
        <v>131</v>
      </c>
      <c r="D661" s="1">
        <v>2636.73</v>
      </c>
      <c r="E661" s="9"/>
      <c r="G661" s="1" t="s">
        <v>802</v>
      </c>
      <c r="H661" s="1" t="s">
        <v>131</v>
      </c>
      <c r="I661" s="2">
        <v>276</v>
      </c>
      <c r="J661" s="2">
        <v>276</v>
      </c>
      <c r="L661" s="12" t="s">
        <v>805</v>
      </c>
      <c r="M661" s="9" t="s">
        <v>177</v>
      </c>
      <c r="N661" s="21">
        <v>1200</v>
      </c>
      <c r="O661" s="22">
        <v>1200</v>
      </c>
      <c r="P661" s="23">
        <f>Table2[[#This Row],[Sum of Old TB]]-Table2[[#This Row],[Sum of New TB]]</f>
        <v>0</v>
      </c>
    </row>
    <row r="662" customHeight="1" spans="2:16">
      <c r="B662" s="8" t="s">
        <v>829</v>
      </c>
      <c r="C662" s="9" t="s">
        <v>133</v>
      </c>
      <c r="D662" s="1">
        <v>2768.05</v>
      </c>
      <c r="E662" s="9"/>
      <c r="G662" s="1" t="s">
        <v>803</v>
      </c>
      <c r="H662" s="1" t="s">
        <v>145</v>
      </c>
      <c r="I662" s="2">
        <v>89294</v>
      </c>
      <c r="L662" s="12" t="s">
        <v>830</v>
      </c>
      <c r="M662" s="9" t="s">
        <v>218</v>
      </c>
      <c r="N662" s="21"/>
      <c r="O662" s="22">
        <v>89294</v>
      </c>
      <c r="P662" s="23">
        <f>Table2[[#This Row],[Sum of Old TB]]-Table2[[#This Row],[Sum of New TB]]</f>
        <v>-89294</v>
      </c>
    </row>
    <row r="663" customHeight="1" spans="2:16">
      <c r="B663" s="8" t="s">
        <v>831</v>
      </c>
      <c r="C663" s="9" t="s">
        <v>185</v>
      </c>
      <c r="D663" s="1">
        <v>2500</v>
      </c>
      <c r="E663" s="9"/>
      <c r="G663" s="1" t="s">
        <v>804</v>
      </c>
      <c r="H663" s="1" t="s">
        <v>175</v>
      </c>
      <c r="I663" s="2">
        <v>1527.02</v>
      </c>
      <c r="J663" s="2">
        <v>1527.02</v>
      </c>
      <c r="L663" s="12" t="s">
        <v>806</v>
      </c>
      <c r="M663" s="9" t="s">
        <v>275</v>
      </c>
      <c r="N663" s="21">
        <v>9927.74</v>
      </c>
      <c r="O663" s="22">
        <v>9927.74</v>
      </c>
      <c r="P663" s="23">
        <f>Table2[[#This Row],[Sum of Old TB]]-Table2[[#This Row],[Sum of New TB]]</f>
        <v>0</v>
      </c>
    </row>
    <row r="664" customHeight="1" spans="2:16">
      <c r="B664" s="8" t="s">
        <v>832</v>
      </c>
      <c r="C664" s="9" t="s">
        <v>277</v>
      </c>
      <c r="D664" s="1">
        <v>28221.4</v>
      </c>
      <c r="E664" s="9"/>
      <c r="G664" s="1" t="s">
        <v>805</v>
      </c>
      <c r="H664" s="1" t="s">
        <v>177</v>
      </c>
      <c r="I664" s="2">
        <v>1200</v>
      </c>
      <c r="J664" s="2">
        <v>1200</v>
      </c>
      <c r="L664" s="12" t="s">
        <v>807</v>
      </c>
      <c r="M664" s="9" t="s">
        <v>40</v>
      </c>
      <c r="N664" s="21">
        <v>11192.54</v>
      </c>
      <c r="O664" s="22">
        <v>11192.54</v>
      </c>
      <c r="P664" s="23">
        <f>Table2[[#This Row],[Sum of Old TB]]-Table2[[#This Row],[Sum of New TB]]</f>
        <v>0</v>
      </c>
    </row>
    <row r="665" customHeight="1" spans="2:16">
      <c r="B665" s="8" t="s">
        <v>833</v>
      </c>
      <c r="C665" s="9" t="s">
        <v>40</v>
      </c>
      <c r="D665" s="1">
        <v>-28221.4</v>
      </c>
      <c r="E665" s="9"/>
      <c r="G665" s="1" t="s">
        <v>830</v>
      </c>
      <c r="H665" s="1" t="s">
        <v>218</v>
      </c>
      <c r="J665" s="2">
        <v>89294</v>
      </c>
      <c r="L665" s="12" t="s">
        <v>808</v>
      </c>
      <c r="M665" s="9" t="s">
        <v>228</v>
      </c>
      <c r="N665" s="21">
        <v>-11192.54</v>
      </c>
      <c r="O665" s="22">
        <v>-11192.54</v>
      </c>
      <c r="P665" s="23">
        <f>Table2[[#This Row],[Sum of Old TB]]-Table2[[#This Row],[Sum of New TB]]</f>
        <v>0</v>
      </c>
    </row>
    <row r="666" customHeight="1" spans="2:16">
      <c r="B666" s="8" t="s">
        <v>834</v>
      </c>
      <c r="C666" s="9" t="s">
        <v>69</v>
      </c>
      <c r="D666" s="1">
        <v>-28221.4</v>
      </c>
      <c r="E666" s="9"/>
      <c r="G666" s="1" t="s">
        <v>806</v>
      </c>
      <c r="H666" s="1" t="s">
        <v>275</v>
      </c>
      <c r="I666" s="2">
        <v>9927.74</v>
      </c>
      <c r="J666" s="2">
        <v>9927.74</v>
      </c>
      <c r="L666" s="12" t="s">
        <v>809</v>
      </c>
      <c r="M666" s="9" t="s">
        <v>69</v>
      </c>
      <c r="N666" s="21">
        <v>-70753.46</v>
      </c>
      <c r="O666" s="22">
        <v>-70753.46</v>
      </c>
      <c r="P666" s="23">
        <f>Table2[[#This Row],[Sum of Old TB]]-Table2[[#This Row],[Sum of New TB]]</f>
        <v>0</v>
      </c>
    </row>
    <row r="667" customHeight="1" spans="2:16">
      <c r="B667" s="8" t="s">
        <v>835</v>
      </c>
      <c r="C667" s="9" t="s">
        <v>185</v>
      </c>
      <c r="D667" s="1">
        <v>23387.2</v>
      </c>
      <c r="E667" s="9"/>
      <c r="G667" s="1" t="s">
        <v>807</v>
      </c>
      <c r="H667" s="1" t="s">
        <v>40</v>
      </c>
      <c r="I667" s="2">
        <v>11192.54</v>
      </c>
      <c r="J667" s="2">
        <v>11192.54</v>
      </c>
      <c r="L667" s="12" t="s">
        <v>810</v>
      </c>
      <c r="M667" s="9" t="s">
        <v>107</v>
      </c>
      <c r="N667" s="21">
        <v>60745</v>
      </c>
      <c r="O667" s="22">
        <v>60745</v>
      </c>
      <c r="P667" s="23">
        <f>Table2[[#This Row],[Sum of Old TB]]-Table2[[#This Row],[Sum of New TB]]</f>
        <v>0</v>
      </c>
    </row>
    <row r="668" customHeight="1" spans="2:16">
      <c r="B668" s="8" t="s">
        <v>836</v>
      </c>
      <c r="C668" s="9" t="s">
        <v>421</v>
      </c>
      <c r="D668" s="1">
        <v>4211.88</v>
      </c>
      <c r="E668" s="9"/>
      <c r="G668" s="1" t="s">
        <v>808</v>
      </c>
      <c r="H668" s="1" t="s">
        <v>228</v>
      </c>
      <c r="I668" s="2">
        <v>-11192.54</v>
      </c>
      <c r="J668" s="2">
        <v>-11192.54</v>
      </c>
      <c r="L668" s="12" t="s">
        <v>811</v>
      </c>
      <c r="M668" s="9" t="s">
        <v>109</v>
      </c>
      <c r="N668" s="21">
        <v>5706.72</v>
      </c>
      <c r="O668" s="22">
        <v>5706.72</v>
      </c>
      <c r="P668" s="23">
        <f>Table2[[#This Row],[Sum of Old TB]]-Table2[[#This Row],[Sum of New TB]]</f>
        <v>0</v>
      </c>
    </row>
    <row r="669" customHeight="1" spans="2:16">
      <c r="B669" s="8" t="s">
        <v>837</v>
      </c>
      <c r="C669" s="9" t="s">
        <v>377</v>
      </c>
      <c r="D669" s="1">
        <v>622.32</v>
      </c>
      <c r="E669" s="9"/>
      <c r="G669" s="1" t="s">
        <v>809</v>
      </c>
      <c r="H669" s="1" t="s">
        <v>69</v>
      </c>
      <c r="I669" s="2">
        <v>-70753.46</v>
      </c>
      <c r="J669" s="2">
        <v>-70753.46</v>
      </c>
      <c r="L669" s="12" t="s">
        <v>812</v>
      </c>
      <c r="M669" s="9" t="s">
        <v>125</v>
      </c>
      <c r="N669" s="21">
        <v>7.43</v>
      </c>
      <c r="O669" s="22">
        <v>7.43</v>
      </c>
      <c r="P669" s="23">
        <f>Table2[[#This Row],[Sum of Old TB]]-Table2[[#This Row],[Sum of New TB]]</f>
        <v>0</v>
      </c>
    </row>
    <row r="670" customHeight="1" spans="2:16">
      <c r="B670" s="8" t="s">
        <v>838</v>
      </c>
      <c r="C670" s="9" t="s">
        <v>40</v>
      </c>
      <c r="D670" s="1">
        <v>8793529.69</v>
      </c>
      <c r="E670" s="9"/>
      <c r="G670" s="1" t="s">
        <v>810</v>
      </c>
      <c r="H670" s="1" t="s">
        <v>107</v>
      </c>
      <c r="I670" s="2">
        <v>60745</v>
      </c>
      <c r="J670" s="2">
        <v>60745</v>
      </c>
      <c r="L670" s="12" t="s">
        <v>813</v>
      </c>
      <c r="M670" s="9" t="s">
        <v>129</v>
      </c>
      <c r="N670" s="21">
        <v>1065.69</v>
      </c>
      <c r="O670" s="22">
        <v>1065.69</v>
      </c>
      <c r="P670" s="23">
        <f>Table2[[#This Row],[Sum of Old TB]]-Table2[[#This Row],[Sum of New TB]]</f>
        <v>0</v>
      </c>
    </row>
    <row r="671" customHeight="1" spans="2:16">
      <c r="B671" s="8" t="s">
        <v>839</v>
      </c>
      <c r="C671" s="9" t="s">
        <v>42</v>
      </c>
      <c r="D671" s="1">
        <v>-86744.29</v>
      </c>
      <c r="E671" s="9"/>
      <c r="G671" s="1" t="s">
        <v>811</v>
      </c>
      <c r="H671" s="1" t="s">
        <v>109</v>
      </c>
      <c r="I671" s="2">
        <v>5706.72</v>
      </c>
      <c r="J671" s="2">
        <v>5706.72</v>
      </c>
      <c r="L671" s="12" t="s">
        <v>814</v>
      </c>
      <c r="M671" s="9" t="s">
        <v>171</v>
      </c>
      <c r="N671" s="21">
        <v>1643.05</v>
      </c>
      <c r="O671" s="22">
        <v>1643.05</v>
      </c>
      <c r="P671" s="23">
        <f>Table2[[#This Row],[Sum of Old TB]]-Table2[[#This Row],[Sum of New TB]]</f>
        <v>0</v>
      </c>
    </row>
    <row r="672" customHeight="1" spans="2:16">
      <c r="B672" s="8" t="s">
        <v>840</v>
      </c>
      <c r="C672" s="9" t="s">
        <v>63</v>
      </c>
      <c r="D672" s="1">
        <v>-6007075.87</v>
      </c>
      <c r="E672" s="9"/>
      <c r="G672" s="1" t="s">
        <v>812</v>
      </c>
      <c r="H672" s="1" t="s">
        <v>125</v>
      </c>
      <c r="I672" s="2">
        <v>7.43</v>
      </c>
      <c r="J672" s="2">
        <v>7.43</v>
      </c>
      <c r="L672" s="12" t="s">
        <v>815</v>
      </c>
      <c r="M672" s="9" t="s">
        <v>175</v>
      </c>
      <c r="N672" s="21">
        <v>1585.57</v>
      </c>
      <c r="O672" s="22">
        <v>1585.57</v>
      </c>
      <c r="P672" s="23">
        <f>Table2[[#This Row],[Sum of Old TB]]-Table2[[#This Row],[Sum of New TB]]</f>
        <v>0</v>
      </c>
    </row>
    <row r="673" customHeight="1" spans="2:16">
      <c r="B673" s="8" t="s">
        <v>841</v>
      </c>
      <c r="C673" s="9" t="s">
        <v>842</v>
      </c>
      <c r="D673" s="1">
        <v>-6311004.23</v>
      </c>
      <c r="E673" s="9"/>
      <c r="G673" s="1" t="s">
        <v>813</v>
      </c>
      <c r="H673" s="1" t="s">
        <v>129</v>
      </c>
      <c r="I673" s="2">
        <v>1065.69</v>
      </c>
      <c r="J673" s="2">
        <v>1065.69</v>
      </c>
      <c r="L673" s="12" t="s">
        <v>816</v>
      </c>
      <c r="M673" s="9" t="s">
        <v>40</v>
      </c>
      <c r="N673" s="21">
        <v>18828.48</v>
      </c>
      <c r="O673" s="22">
        <v>18828.48</v>
      </c>
      <c r="P673" s="23">
        <f>Table2[[#This Row],[Sum of Old TB]]-Table2[[#This Row],[Sum of New TB]]</f>
        <v>0</v>
      </c>
    </row>
    <row r="674" customHeight="1" spans="2:16">
      <c r="B674" s="8" t="s">
        <v>843</v>
      </c>
      <c r="C674" s="9" t="s">
        <v>107</v>
      </c>
      <c r="D674" s="1">
        <v>6060</v>
      </c>
      <c r="E674" s="9"/>
      <c r="G674" s="1" t="s">
        <v>814</v>
      </c>
      <c r="H674" s="1" t="s">
        <v>171</v>
      </c>
      <c r="I674" s="2">
        <v>1643.05</v>
      </c>
      <c r="J674" s="2">
        <v>1643.05</v>
      </c>
      <c r="L674" s="12" t="s">
        <v>817</v>
      </c>
      <c r="M674" s="9" t="s">
        <v>228</v>
      </c>
      <c r="N674" s="21">
        <v>-18828.48</v>
      </c>
      <c r="O674" s="22">
        <v>-18828.48</v>
      </c>
      <c r="P674" s="23">
        <f>Table2[[#This Row],[Sum of Old TB]]-Table2[[#This Row],[Sum of New TB]]</f>
        <v>0</v>
      </c>
    </row>
    <row r="675" customHeight="1" spans="2:16">
      <c r="B675" s="8" t="s">
        <v>844</v>
      </c>
      <c r="C675" s="9" t="s">
        <v>109</v>
      </c>
      <c r="D675" s="1">
        <v>510.97</v>
      </c>
      <c r="E675" s="9"/>
      <c r="G675" s="1" t="s">
        <v>815</v>
      </c>
      <c r="H675" s="1" t="s">
        <v>175</v>
      </c>
      <c r="I675" s="2">
        <v>1585.57</v>
      </c>
      <c r="J675" s="2">
        <v>1585.57</v>
      </c>
      <c r="L675" s="12" t="s">
        <v>818</v>
      </c>
      <c r="M675" s="9" t="s">
        <v>69</v>
      </c>
      <c r="N675" s="21">
        <v>-13709.52</v>
      </c>
      <c r="O675" s="22">
        <v>-13709.52</v>
      </c>
      <c r="P675" s="23">
        <f>Table2[[#This Row],[Sum of Old TB]]-Table2[[#This Row],[Sum of New TB]]</f>
        <v>0</v>
      </c>
    </row>
    <row r="676" customHeight="1" spans="2:16">
      <c r="B676" s="8" t="s">
        <v>845</v>
      </c>
      <c r="C676" s="9" t="s">
        <v>111</v>
      </c>
      <c r="D676" s="1">
        <v>230.02</v>
      </c>
      <c r="E676" s="9"/>
      <c r="G676" s="1" t="s">
        <v>816</v>
      </c>
      <c r="H676" s="1" t="s">
        <v>40</v>
      </c>
      <c r="I676" s="2">
        <v>18828.48</v>
      </c>
      <c r="J676" s="2">
        <v>18828.48</v>
      </c>
      <c r="L676" s="12" t="s">
        <v>819</v>
      </c>
      <c r="M676" s="9" t="s">
        <v>113</v>
      </c>
      <c r="N676" s="21">
        <v>12690.5</v>
      </c>
      <c r="O676" s="22">
        <v>12690.5</v>
      </c>
      <c r="P676" s="23">
        <f>Table2[[#This Row],[Sum of Old TB]]-Table2[[#This Row],[Sum of New TB]]</f>
        <v>0</v>
      </c>
    </row>
    <row r="677" customHeight="1" spans="2:16">
      <c r="B677" s="8" t="s">
        <v>846</v>
      </c>
      <c r="C677" s="9" t="s">
        <v>113</v>
      </c>
      <c r="D677" s="1">
        <v>2580</v>
      </c>
      <c r="E677" s="9"/>
      <c r="G677" s="1" t="s">
        <v>817</v>
      </c>
      <c r="H677" s="1" t="s">
        <v>228</v>
      </c>
      <c r="I677" s="2">
        <v>-18828.48</v>
      </c>
      <c r="J677" s="2">
        <v>-18828.48</v>
      </c>
      <c r="L677" s="12" t="s">
        <v>820</v>
      </c>
      <c r="M677" s="9" t="s">
        <v>175</v>
      </c>
      <c r="N677" s="21">
        <v>543.28</v>
      </c>
      <c r="O677" s="22">
        <v>543.28</v>
      </c>
      <c r="P677" s="23">
        <f>Table2[[#This Row],[Sum of Old TB]]-Table2[[#This Row],[Sum of New TB]]</f>
        <v>0</v>
      </c>
    </row>
    <row r="678" customHeight="1" spans="2:16">
      <c r="B678" s="8" t="s">
        <v>847</v>
      </c>
      <c r="C678" s="9" t="s">
        <v>117</v>
      </c>
      <c r="D678" s="1">
        <v>57486.48</v>
      </c>
      <c r="E678" s="9"/>
      <c r="G678" s="1" t="s">
        <v>818</v>
      </c>
      <c r="H678" s="1" t="s">
        <v>69</v>
      </c>
      <c r="I678" s="2">
        <v>-13709.52</v>
      </c>
      <c r="J678" s="2">
        <v>-13709.52</v>
      </c>
      <c r="L678" s="12" t="s">
        <v>821</v>
      </c>
      <c r="M678" s="9" t="s">
        <v>179</v>
      </c>
      <c r="N678" s="21">
        <v>136.47</v>
      </c>
      <c r="O678" s="22">
        <v>136.47</v>
      </c>
      <c r="P678" s="23">
        <f>Table2[[#This Row],[Sum of Old TB]]-Table2[[#This Row],[Sum of New TB]]</f>
        <v>0</v>
      </c>
    </row>
    <row r="679" customHeight="1" spans="2:16">
      <c r="B679" s="8" t="s">
        <v>848</v>
      </c>
      <c r="C679" s="9" t="s">
        <v>129</v>
      </c>
      <c r="D679" s="1">
        <v>20476.43</v>
      </c>
      <c r="E679" s="9"/>
      <c r="G679" s="1" t="s">
        <v>819</v>
      </c>
      <c r="H679" s="1" t="s">
        <v>113</v>
      </c>
      <c r="I679" s="2">
        <v>12690.5</v>
      </c>
      <c r="J679" s="2">
        <v>12690.5</v>
      </c>
      <c r="L679" s="12" t="s">
        <v>822</v>
      </c>
      <c r="M679" s="9" t="s">
        <v>197</v>
      </c>
      <c r="N679" s="21">
        <v>339.27</v>
      </c>
      <c r="O679" s="22">
        <v>339.27</v>
      </c>
      <c r="P679" s="23">
        <f>Table2[[#This Row],[Sum of Old TB]]-Table2[[#This Row],[Sum of New TB]]</f>
        <v>0</v>
      </c>
    </row>
    <row r="680" customHeight="1" spans="2:16">
      <c r="B680" s="8" t="s">
        <v>849</v>
      </c>
      <c r="C680" s="9" t="s">
        <v>309</v>
      </c>
      <c r="D680" s="1">
        <v>42.19</v>
      </c>
      <c r="E680" s="9"/>
      <c r="G680" s="1" t="s">
        <v>820</v>
      </c>
      <c r="H680" s="1" t="s">
        <v>175</v>
      </c>
      <c r="I680" s="2">
        <v>543.28</v>
      </c>
      <c r="J680" s="2">
        <v>543.28</v>
      </c>
      <c r="L680" s="12" t="s">
        <v>823</v>
      </c>
      <c r="M680" s="9" t="s">
        <v>40</v>
      </c>
      <c r="N680" s="21">
        <v>2656.76</v>
      </c>
      <c r="O680" s="22">
        <v>2656.76</v>
      </c>
      <c r="P680" s="23">
        <f>Table2[[#This Row],[Sum of Old TB]]-Table2[[#This Row],[Sum of New TB]]</f>
        <v>0</v>
      </c>
    </row>
    <row r="681" customHeight="1" spans="2:16">
      <c r="B681" s="8" t="s">
        <v>850</v>
      </c>
      <c r="C681" s="9" t="s">
        <v>133</v>
      </c>
      <c r="D681" s="1">
        <v>19965.85</v>
      </c>
      <c r="E681" s="9"/>
      <c r="G681" s="1" t="s">
        <v>821</v>
      </c>
      <c r="H681" s="1" t="s">
        <v>179</v>
      </c>
      <c r="I681" s="2">
        <v>136.47</v>
      </c>
      <c r="J681" s="2">
        <v>136.47</v>
      </c>
      <c r="L681" s="12" t="s">
        <v>824</v>
      </c>
      <c r="M681" s="9" t="s">
        <v>228</v>
      </c>
      <c r="N681" s="21">
        <v>-2656.76</v>
      </c>
      <c r="O681" s="22">
        <v>-2656.76</v>
      </c>
      <c r="P681" s="23">
        <f>Table2[[#This Row],[Sum of Old TB]]-Table2[[#This Row],[Sum of New TB]]</f>
        <v>0</v>
      </c>
    </row>
    <row r="682" customHeight="1" spans="2:16">
      <c r="B682" s="8" t="s">
        <v>851</v>
      </c>
      <c r="C682" s="9" t="s">
        <v>137</v>
      </c>
      <c r="D682" s="1">
        <v>515</v>
      </c>
      <c r="E682" s="9"/>
      <c r="G682" s="1" t="s">
        <v>822</v>
      </c>
      <c r="H682" s="1" t="s">
        <v>197</v>
      </c>
      <c r="I682" s="2">
        <v>339.27</v>
      </c>
      <c r="J682" s="2">
        <v>339.27</v>
      </c>
      <c r="L682" s="12" t="s">
        <v>825</v>
      </c>
      <c r="M682" s="9" t="s">
        <v>69</v>
      </c>
      <c r="N682" s="21">
        <v>-37343.24</v>
      </c>
      <c r="O682" s="22">
        <v>-37343.24</v>
      </c>
      <c r="P682" s="23">
        <f>Table2[[#This Row],[Sum of Old TB]]-Table2[[#This Row],[Sum of New TB]]</f>
        <v>0</v>
      </c>
    </row>
    <row r="683" customHeight="1" spans="2:16">
      <c r="B683" s="8" t="s">
        <v>852</v>
      </c>
      <c r="C683" s="9" t="s">
        <v>143</v>
      </c>
      <c r="D683" s="1">
        <v>408.46</v>
      </c>
      <c r="E683" s="9"/>
      <c r="G683" s="1" t="s">
        <v>823</v>
      </c>
      <c r="H683" s="1" t="s">
        <v>40</v>
      </c>
      <c r="I683" s="2">
        <v>2656.76</v>
      </c>
      <c r="J683" s="2">
        <v>2656.76</v>
      </c>
      <c r="L683" s="12" t="s">
        <v>826</v>
      </c>
      <c r="M683" s="9" t="s">
        <v>117</v>
      </c>
      <c r="N683" s="21">
        <v>3000</v>
      </c>
      <c r="O683" s="22">
        <v>3000</v>
      </c>
      <c r="P683" s="23">
        <f>Table2[[#This Row],[Sum of Old TB]]-Table2[[#This Row],[Sum of New TB]]</f>
        <v>0</v>
      </c>
    </row>
    <row r="684" customHeight="1" spans="2:16">
      <c r="B684" s="8" t="s">
        <v>853</v>
      </c>
      <c r="C684" s="9" t="s">
        <v>145</v>
      </c>
      <c r="D684" s="1">
        <v>440</v>
      </c>
      <c r="E684" s="9"/>
      <c r="G684" s="1" t="s">
        <v>824</v>
      </c>
      <c r="H684" s="1" t="s">
        <v>228</v>
      </c>
      <c r="I684" s="2">
        <v>-2656.76</v>
      </c>
      <c r="J684" s="2">
        <v>-2656.76</v>
      </c>
      <c r="L684" s="12" t="s">
        <v>827</v>
      </c>
      <c r="M684" s="9" t="s">
        <v>129</v>
      </c>
      <c r="N684" s="21">
        <v>26438.46</v>
      </c>
      <c r="O684" s="22">
        <v>26438.46</v>
      </c>
      <c r="P684" s="23">
        <f>Table2[[#This Row],[Sum of Old TB]]-Table2[[#This Row],[Sum of New TB]]</f>
        <v>0</v>
      </c>
    </row>
    <row r="685" customHeight="1" spans="2:16">
      <c r="B685" s="8" t="s">
        <v>854</v>
      </c>
      <c r="C685" s="9" t="s">
        <v>147</v>
      </c>
      <c r="D685" s="1">
        <v>9294.72</v>
      </c>
      <c r="E685" s="9"/>
      <c r="G685" s="1" t="s">
        <v>825</v>
      </c>
      <c r="H685" s="1" t="s">
        <v>69</v>
      </c>
      <c r="I685" s="2">
        <v>-37343.24</v>
      </c>
      <c r="J685" s="2">
        <v>-37343.24</v>
      </c>
      <c r="L685" s="12" t="s">
        <v>828</v>
      </c>
      <c r="M685" s="9" t="s">
        <v>131</v>
      </c>
      <c r="N685" s="21">
        <v>2636.73</v>
      </c>
      <c r="O685" s="22">
        <v>2636.73</v>
      </c>
      <c r="P685" s="23">
        <f>Table2[[#This Row],[Sum of Old TB]]-Table2[[#This Row],[Sum of New TB]]</f>
        <v>0</v>
      </c>
    </row>
    <row r="686" customHeight="1" spans="2:16">
      <c r="B686" s="8" t="s">
        <v>855</v>
      </c>
      <c r="C686" s="9" t="s">
        <v>153</v>
      </c>
      <c r="D686" s="1">
        <v>5037.51</v>
      </c>
      <c r="E686" s="9"/>
      <c r="G686" s="1" t="s">
        <v>826</v>
      </c>
      <c r="H686" s="1" t="s">
        <v>117</v>
      </c>
      <c r="I686" s="2">
        <v>3000</v>
      </c>
      <c r="J686" s="2">
        <v>3000</v>
      </c>
      <c r="L686" s="12" t="s">
        <v>829</v>
      </c>
      <c r="M686" s="9" t="s">
        <v>133</v>
      </c>
      <c r="N686" s="21">
        <v>2768.05</v>
      </c>
      <c r="O686" s="22">
        <v>115.05</v>
      </c>
      <c r="P686" s="23">
        <f>Table2[[#This Row],[Sum of Old TB]]-Table2[[#This Row],[Sum of New TB]]</f>
        <v>2653</v>
      </c>
    </row>
    <row r="687" customHeight="1" spans="2:16">
      <c r="B687" s="8" t="s">
        <v>856</v>
      </c>
      <c r="C687" s="9" t="s">
        <v>155</v>
      </c>
      <c r="D687" s="1">
        <v>1687.88</v>
      </c>
      <c r="E687" s="9"/>
      <c r="G687" s="1" t="s">
        <v>827</v>
      </c>
      <c r="H687" s="1" t="s">
        <v>129</v>
      </c>
      <c r="I687" s="2">
        <v>26438.46</v>
      </c>
      <c r="J687" s="2">
        <v>26438.46</v>
      </c>
      <c r="L687" s="12" t="s">
        <v>857</v>
      </c>
      <c r="M687" s="9" t="s">
        <v>161</v>
      </c>
      <c r="N687" s="21"/>
      <c r="O687" s="22">
        <v>2653</v>
      </c>
      <c r="P687" s="23">
        <f>Table2[[#This Row],[Sum of Old TB]]-Table2[[#This Row],[Sum of New TB]]</f>
        <v>-2653</v>
      </c>
    </row>
    <row r="688" customHeight="1" spans="2:16">
      <c r="B688" s="8" t="s">
        <v>858</v>
      </c>
      <c r="C688" s="9" t="s">
        <v>159</v>
      </c>
      <c r="D688" s="1">
        <v>69396.5</v>
      </c>
      <c r="E688" s="9"/>
      <c r="G688" s="1" t="s">
        <v>828</v>
      </c>
      <c r="H688" s="1" t="s">
        <v>131</v>
      </c>
      <c r="I688" s="2">
        <v>2636.73</v>
      </c>
      <c r="J688" s="2">
        <v>2636.73</v>
      </c>
      <c r="L688" s="12" t="s">
        <v>831</v>
      </c>
      <c r="M688" s="9" t="s">
        <v>185</v>
      </c>
      <c r="N688" s="21">
        <v>2500</v>
      </c>
      <c r="O688" s="22">
        <v>2500</v>
      </c>
      <c r="P688" s="23">
        <f>Table2[[#This Row],[Sum of Old TB]]-Table2[[#This Row],[Sum of New TB]]</f>
        <v>0</v>
      </c>
    </row>
    <row r="689" customHeight="1" spans="2:16">
      <c r="B689" s="8" t="s">
        <v>859</v>
      </c>
      <c r="C689" s="9" t="s">
        <v>161</v>
      </c>
      <c r="D689" s="1">
        <v>420.83</v>
      </c>
      <c r="E689" s="9"/>
      <c r="G689" s="1" t="s">
        <v>829</v>
      </c>
      <c r="H689" s="1" t="s">
        <v>133</v>
      </c>
      <c r="I689" s="2">
        <v>2768.05</v>
      </c>
      <c r="J689" s="2">
        <v>115.05</v>
      </c>
      <c r="L689" s="12" t="s">
        <v>832</v>
      </c>
      <c r="M689" s="9" t="s">
        <v>277</v>
      </c>
      <c r="N689" s="21">
        <v>28221.4</v>
      </c>
      <c r="O689" s="22">
        <v>28221.4</v>
      </c>
      <c r="P689" s="23">
        <f>Table2[[#This Row],[Sum of Old TB]]-Table2[[#This Row],[Sum of New TB]]</f>
        <v>0</v>
      </c>
    </row>
    <row r="690" customHeight="1" spans="2:16">
      <c r="B690" s="8" t="s">
        <v>860</v>
      </c>
      <c r="C690" s="9" t="s">
        <v>252</v>
      </c>
      <c r="D690" s="1">
        <v>11556.45</v>
      </c>
      <c r="E690" s="9"/>
      <c r="G690" s="1" t="s">
        <v>857</v>
      </c>
      <c r="H690" s="1" t="s">
        <v>161</v>
      </c>
      <c r="J690" s="2">
        <v>2653</v>
      </c>
      <c r="L690" s="12" t="s">
        <v>833</v>
      </c>
      <c r="M690" s="9" t="s">
        <v>40</v>
      </c>
      <c r="N690" s="21">
        <v>-28221.4</v>
      </c>
      <c r="O690" s="22">
        <v>-28221.4</v>
      </c>
      <c r="P690" s="23">
        <f>Table2[[#This Row],[Sum of Old TB]]-Table2[[#This Row],[Sum of New TB]]</f>
        <v>0</v>
      </c>
    </row>
    <row r="691" customHeight="1" spans="2:16">
      <c r="B691" s="8" t="s">
        <v>861</v>
      </c>
      <c r="C691" s="9" t="s">
        <v>165</v>
      </c>
      <c r="D691" s="1">
        <v>3607.68</v>
      </c>
      <c r="E691" s="9"/>
      <c r="G691" s="1" t="s">
        <v>831</v>
      </c>
      <c r="H691" s="1" t="s">
        <v>185</v>
      </c>
      <c r="I691" s="2">
        <v>2500</v>
      </c>
      <c r="J691" s="2">
        <v>2500</v>
      </c>
      <c r="L691" s="12" t="s">
        <v>834</v>
      </c>
      <c r="M691" s="9" t="s">
        <v>69</v>
      </c>
      <c r="N691" s="21">
        <v>-28221.4</v>
      </c>
      <c r="O691" s="22">
        <v>-28221.4</v>
      </c>
      <c r="P691" s="23">
        <f>Table2[[#This Row],[Sum of Old TB]]-Table2[[#This Row],[Sum of New TB]]</f>
        <v>0</v>
      </c>
    </row>
    <row r="692" customHeight="1" spans="2:16">
      <c r="B692" s="8" t="s">
        <v>862</v>
      </c>
      <c r="C692" s="9" t="s">
        <v>469</v>
      </c>
      <c r="D692" s="1">
        <v>5023</v>
      </c>
      <c r="E692" s="9"/>
      <c r="G692" s="1" t="s">
        <v>832</v>
      </c>
      <c r="H692" s="1" t="s">
        <v>277</v>
      </c>
      <c r="I692" s="2">
        <v>28221.4</v>
      </c>
      <c r="J692" s="2">
        <v>28221.4</v>
      </c>
      <c r="L692" s="12" t="s">
        <v>835</v>
      </c>
      <c r="M692" s="9" t="s">
        <v>185</v>
      </c>
      <c r="N692" s="21">
        <v>23387.2</v>
      </c>
      <c r="O692" s="22">
        <v>23387.2</v>
      </c>
      <c r="P692" s="23">
        <f>Table2[[#This Row],[Sum of Old TB]]-Table2[[#This Row],[Sum of New TB]]</f>
        <v>0</v>
      </c>
    </row>
    <row r="693" customHeight="1" spans="2:16">
      <c r="B693" s="8" t="s">
        <v>863</v>
      </c>
      <c r="C693" s="9" t="s">
        <v>169</v>
      </c>
      <c r="D693" s="1">
        <v>34375</v>
      </c>
      <c r="E693" s="9"/>
      <c r="G693" s="1" t="s">
        <v>833</v>
      </c>
      <c r="H693" s="1" t="s">
        <v>40</v>
      </c>
      <c r="I693" s="2">
        <v>-28221.4</v>
      </c>
      <c r="J693" s="2">
        <v>-28221.4</v>
      </c>
      <c r="L693" s="12" t="s">
        <v>836</v>
      </c>
      <c r="M693" s="9" t="s">
        <v>421</v>
      </c>
      <c r="N693" s="21">
        <v>4211.88</v>
      </c>
      <c r="O693" s="22">
        <v>4211.88</v>
      </c>
      <c r="P693" s="23">
        <f>Table2[[#This Row],[Sum of Old TB]]-Table2[[#This Row],[Sum of New TB]]</f>
        <v>0</v>
      </c>
    </row>
    <row r="694" customHeight="1" spans="2:16">
      <c r="B694" s="8" t="s">
        <v>864</v>
      </c>
      <c r="C694" s="9" t="s">
        <v>175</v>
      </c>
      <c r="D694" s="1">
        <v>30758.1</v>
      </c>
      <c r="E694" s="9"/>
      <c r="G694" s="1" t="s">
        <v>834</v>
      </c>
      <c r="H694" s="1" t="s">
        <v>69</v>
      </c>
      <c r="I694" s="2">
        <v>-28221.4</v>
      </c>
      <c r="J694" s="2">
        <v>-28221.4</v>
      </c>
      <c r="L694" s="12" t="s">
        <v>837</v>
      </c>
      <c r="M694" s="9" t="s">
        <v>377</v>
      </c>
      <c r="N694" s="21">
        <v>622.32</v>
      </c>
      <c r="O694" s="22">
        <v>622.32</v>
      </c>
      <c r="P694" s="23">
        <f>Table2[[#This Row],[Sum of Old TB]]-Table2[[#This Row],[Sum of New TB]]</f>
        <v>0</v>
      </c>
    </row>
    <row r="695" customHeight="1" spans="2:16">
      <c r="B695" s="8" t="s">
        <v>865</v>
      </c>
      <c r="C695" s="9" t="s">
        <v>177</v>
      </c>
      <c r="D695" s="1">
        <v>16730</v>
      </c>
      <c r="E695" s="9"/>
      <c r="G695" s="1" t="s">
        <v>835</v>
      </c>
      <c r="H695" s="1" t="s">
        <v>185</v>
      </c>
      <c r="I695" s="2">
        <v>23387.2</v>
      </c>
      <c r="J695" s="2">
        <v>23387.2</v>
      </c>
      <c r="L695" s="12" t="s">
        <v>838</v>
      </c>
      <c r="M695" s="9" t="s">
        <v>40</v>
      </c>
      <c r="N695" s="21">
        <v>8793529.69</v>
      </c>
      <c r="O695" s="22">
        <v>8806457.61</v>
      </c>
      <c r="P695" s="23">
        <f>Table2[[#This Row],[Sum of Old TB]]-Table2[[#This Row],[Sum of New TB]]</f>
        <v>-12927.9199999999</v>
      </c>
    </row>
    <row r="696" customHeight="1" spans="2:16">
      <c r="B696" s="8" t="s">
        <v>866</v>
      </c>
      <c r="C696" s="9" t="s">
        <v>260</v>
      </c>
      <c r="D696" s="1">
        <v>1687.24</v>
      </c>
      <c r="E696" s="9"/>
      <c r="G696" s="1" t="s">
        <v>836</v>
      </c>
      <c r="H696" s="1" t="s">
        <v>421</v>
      </c>
      <c r="I696" s="2">
        <v>4211.88</v>
      </c>
      <c r="J696" s="2">
        <v>4211.88</v>
      </c>
      <c r="L696" s="12" t="s">
        <v>839</v>
      </c>
      <c r="M696" s="9" t="s">
        <v>42</v>
      </c>
      <c r="N696" s="21">
        <v>-86744.29</v>
      </c>
      <c r="O696" s="22">
        <v>-86744.29</v>
      </c>
      <c r="P696" s="23">
        <f>Table2[[#This Row],[Sum of Old TB]]-Table2[[#This Row],[Sum of New TB]]</f>
        <v>0</v>
      </c>
    </row>
    <row r="697" customHeight="1" spans="2:16">
      <c r="B697" s="8" t="s">
        <v>867</v>
      </c>
      <c r="C697" s="9" t="s">
        <v>179</v>
      </c>
      <c r="D697" s="1">
        <v>35535.16</v>
      </c>
      <c r="E697" s="9"/>
      <c r="G697" s="1" t="s">
        <v>837</v>
      </c>
      <c r="H697" s="1" t="s">
        <v>377</v>
      </c>
      <c r="I697" s="2">
        <v>622.32</v>
      </c>
      <c r="J697" s="2">
        <v>622.32</v>
      </c>
      <c r="L697" s="12" t="s">
        <v>840</v>
      </c>
      <c r="M697" s="9" t="s">
        <v>63</v>
      </c>
      <c r="N697" s="21">
        <v>-6007075.87</v>
      </c>
      <c r="O697" s="22">
        <v>-6007075.87</v>
      </c>
      <c r="P697" s="23">
        <f>Table2[[#This Row],[Sum of Old TB]]-Table2[[#This Row],[Sum of New TB]]</f>
        <v>0</v>
      </c>
    </row>
    <row r="698" customHeight="1" spans="2:16">
      <c r="B698" s="8" t="s">
        <v>868</v>
      </c>
      <c r="C698" s="9" t="s">
        <v>869</v>
      </c>
      <c r="D698" s="1">
        <v>2400</v>
      </c>
      <c r="E698" s="9"/>
      <c r="G698" s="1" t="s">
        <v>838</v>
      </c>
      <c r="H698" s="1" t="s">
        <v>40</v>
      </c>
      <c r="I698" s="2">
        <v>8793529.69</v>
      </c>
      <c r="J698" s="2">
        <v>8806457.61</v>
      </c>
      <c r="L698" s="12" t="s">
        <v>841</v>
      </c>
      <c r="M698" s="9" t="s">
        <v>842</v>
      </c>
      <c r="N698" s="21">
        <v>-6311004.23</v>
      </c>
      <c r="O698" s="22">
        <v>-6311004.23</v>
      </c>
      <c r="P698" s="23">
        <f>Table2[[#This Row],[Sum of Old TB]]-Table2[[#This Row],[Sum of New TB]]</f>
        <v>0</v>
      </c>
    </row>
    <row r="699" customHeight="1" spans="2:16">
      <c r="B699" s="8" t="s">
        <v>870</v>
      </c>
      <c r="C699" s="9" t="s">
        <v>185</v>
      </c>
      <c r="D699" s="1">
        <v>21274.13</v>
      </c>
      <c r="E699" s="9"/>
      <c r="G699" s="1" t="s">
        <v>839</v>
      </c>
      <c r="H699" s="1" t="s">
        <v>42</v>
      </c>
      <c r="I699" s="2">
        <v>-86744.29</v>
      </c>
      <c r="J699" s="2">
        <v>-86744.29</v>
      </c>
      <c r="L699" s="12" t="s">
        <v>871</v>
      </c>
      <c r="M699" s="9" t="s">
        <v>115</v>
      </c>
      <c r="N699" s="21"/>
      <c r="O699" s="22">
        <v>-47965.29</v>
      </c>
      <c r="P699" s="23">
        <f>Table2[[#This Row],[Sum of Old TB]]-Table2[[#This Row],[Sum of New TB]]</f>
        <v>47965.29</v>
      </c>
    </row>
    <row r="700" customHeight="1" spans="2:16">
      <c r="B700" s="8" t="s">
        <v>872</v>
      </c>
      <c r="C700" s="9" t="s">
        <v>187</v>
      </c>
      <c r="D700" s="1">
        <v>31821.51</v>
      </c>
      <c r="E700" s="9"/>
      <c r="G700" s="1" t="s">
        <v>840</v>
      </c>
      <c r="H700" s="1" t="s">
        <v>63</v>
      </c>
      <c r="I700" s="2">
        <v>-6007075.87</v>
      </c>
      <c r="J700" s="2">
        <v>-6007075.87</v>
      </c>
      <c r="L700" s="12" t="s">
        <v>843</v>
      </c>
      <c r="M700" s="9" t="s">
        <v>107</v>
      </c>
      <c r="N700" s="21">
        <v>6060</v>
      </c>
      <c r="O700" s="22">
        <v>6060</v>
      </c>
      <c r="P700" s="23">
        <f>Table2[[#This Row],[Sum of Old TB]]-Table2[[#This Row],[Sum of New TB]]</f>
        <v>0</v>
      </c>
    </row>
    <row r="701" customHeight="1" spans="2:16">
      <c r="B701" s="8" t="s">
        <v>873</v>
      </c>
      <c r="C701" s="9" t="s">
        <v>189</v>
      </c>
      <c r="D701" s="1">
        <v>193642.27</v>
      </c>
      <c r="E701" s="9"/>
      <c r="G701" s="1" t="s">
        <v>841</v>
      </c>
      <c r="H701" s="1" t="s">
        <v>842</v>
      </c>
      <c r="I701" s="2">
        <v>-6311004.23</v>
      </c>
      <c r="J701" s="2">
        <v>-6311004.23</v>
      </c>
      <c r="L701" s="12" t="s">
        <v>844</v>
      </c>
      <c r="M701" s="9" t="s">
        <v>109</v>
      </c>
      <c r="N701" s="21">
        <v>510.97</v>
      </c>
      <c r="O701" s="22">
        <v>510.97</v>
      </c>
      <c r="P701" s="23">
        <f>Table2[[#This Row],[Sum of Old TB]]-Table2[[#This Row],[Sum of New TB]]</f>
        <v>0</v>
      </c>
    </row>
    <row r="702" customHeight="1" spans="2:16">
      <c r="B702" s="8" t="s">
        <v>874</v>
      </c>
      <c r="C702" s="9" t="s">
        <v>191</v>
      </c>
      <c r="D702" s="1">
        <v>13932.72</v>
      </c>
      <c r="E702" s="9"/>
      <c r="G702" s="1" t="s">
        <v>871</v>
      </c>
      <c r="H702" s="1" t="s">
        <v>115</v>
      </c>
      <c r="J702" s="2">
        <v>-47965.29</v>
      </c>
      <c r="L702" s="12" t="s">
        <v>845</v>
      </c>
      <c r="M702" s="9" t="s">
        <v>111</v>
      </c>
      <c r="N702" s="21">
        <v>230.02</v>
      </c>
      <c r="O702" s="22">
        <v>230.02</v>
      </c>
      <c r="P702" s="23">
        <f>Table2[[#This Row],[Sum of Old TB]]-Table2[[#This Row],[Sum of New TB]]</f>
        <v>0</v>
      </c>
    </row>
    <row r="703" customHeight="1" spans="2:16">
      <c r="B703" s="8" t="s">
        <v>875</v>
      </c>
      <c r="C703" s="9" t="s">
        <v>511</v>
      </c>
      <c r="D703" s="1">
        <v>193</v>
      </c>
      <c r="E703" s="9"/>
      <c r="G703" s="1" t="s">
        <v>843</v>
      </c>
      <c r="H703" s="1" t="s">
        <v>107</v>
      </c>
      <c r="I703" s="2">
        <v>6060</v>
      </c>
      <c r="J703" s="2">
        <v>6060</v>
      </c>
      <c r="L703" s="12" t="s">
        <v>846</v>
      </c>
      <c r="M703" s="9" t="s">
        <v>113</v>
      </c>
      <c r="N703" s="21">
        <v>2580</v>
      </c>
      <c r="O703" s="22">
        <v>2580</v>
      </c>
      <c r="P703" s="23">
        <f>Table2[[#This Row],[Sum of Old TB]]-Table2[[#This Row],[Sum of New TB]]</f>
        <v>0</v>
      </c>
    </row>
    <row r="704" customHeight="1" spans="2:16">
      <c r="B704" s="8" t="s">
        <v>876</v>
      </c>
      <c r="C704" s="9" t="s">
        <v>193</v>
      </c>
      <c r="D704" s="1">
        <v>3715</v>
      </c>
      <c r="E704" s="9"/>
      <c r="G704" s="1" t="s">
        <v>844</v>
      </c>
      <c r="H704" s="1" t="s">
        <v>109</v>
      </c>
      <c r="I704" s="2">
        <v>510.97</v>
      </c>
      <c r="J704" s="2">
        <v>510.97</v>
      </c>
      <c r="L704" s="12" t="s">
        <v>847</v>
      </c>
      <c r="M704" s="9" t="s">
        <v>117</v>
      </c>
      <c r="N704" s="21">
        <v>57486.48</v>
      </c>
      <c r="O704" s="22">
        <v>57486.48</v>
      </c>
      <c r="P704" s="23">
        <f>Table2[[#This Row],[Sum of Old TB]]-Table2[[#This Row],[Sum of New TB]]</f>
        <v>0</v>
      </c>
    </row>
    <row r="705" customHeight="1" spans="2:16">
      <c r="B705" s="8" t="s">
        <v>877</v>
      </c>
      <c r="C705" s="9" t="s">
        <v>878</v>
      </c>
      <c r="D705" s="1">
        <v>7314.4</v>
      </c>
      <c r="E705" s="9"/>
      <c r="G705" s="1" t="s">
        <v>845</v>
      </c>
      <c r="H705" s="1" t="s">
        <v>111</v>
      </c>
      <c r="I705" s="2">
        <v>230.02</v>
      </c>
      <c r="J705" s="2">
        <v>230.02</v>
      </c>
      <c r="L705" s="12" t="s">
        <v>848</v>
      </c>
      <c r="M705" s="9" t="s">
        <v>129</v>
      </c>
      <c r="N705" s="21">
        <v>20476.43</v>
      </c>
      <c r="O705" s="22">
        <v>20476.43</v>
      </c>
      <c r="P705" s="23">
        <f>Table2[[#This Row],[Sum of Old TB]]-Table2[[#This Row],[Sum of New TB]]</f>
        <v>0</v>
      </c>
    </row>
    <row r="706" customHeight="1" spans="2:16">
      <c r="B706" s="8" t="s">
        <v>879</v>
      </c>
      <c r="C706" s="9" t="s">
        <v>197</v>
      </c>
      <c r="D706" s="1">
        <v>118193.66</v>
      </c>
      <c r="E706" s="9"/>
      <c r="G706" s="1" t="s">
        <v>846</v>
      </c>
      <c r="H706" s="1" t="s">
        <v>113</v>
      </c>
      <c r="I706" s="2">
        <v>2580</v>
      </c>
      <c r="J706" s="2">
        <v>2580</v>
      </c>
      <c r="L706" s="12" t="s">
        <v>849</v>
      </c>
      <c r="M706" s="9" t="s">
        <v>309</v>
      </c>
      <c r="N706" s="21">
        <v>42.19</v>
      </c>
      <c r="O706" s="22">
        <v>42.19</v>
      </c>
      <c r="P706" s="23">
        <f>Table2[[#This Row],[Sum of Old TB]]-Table2[[#This Row],[Sum of New TB]]</f>
        <v>0</v>
      </c>
    </row>
    <row r="707" customHeight="1" spans="2:16">
      <c r="B707" s="8" t="s">
        <v>880</v>
      </c>
      <c r="C707" s="9" t="s">
        <v>200</v>
      </c>
      <c r="D707" s="1">
        <v>30667.32</v>
      </c>
      <c r="E707" s="9"/>
      <c r="G707" s="1" t="s">
        <v>847</v>
      </c>
      <c r="H707" s="1" t="s">
        <v>117</v>
      </c>
      <c r="I707" s="2">
        <v>57486.48</v>
      </c>
      <c r="J707" s="2">
        <v>57486.48</v>
      </c>
      <c r="L707" s="12" t="s">
        <v>850</v>
      </c>
      <c r="M707" s="9" t="s">
        <v>133</v>
      </c>
      <c r="N707" s="21">
        <v>19965.85</v>
      </c>
      <c r="O707" s="22">
        <v>1965.85</v>
      </c>
      <c r="P707" s="23">
        <f>Table2[[#This Row],[Sum of Old TB]]-Table2[[#This Row],[Sum of New TB]]</f>
        <v>18000</v>
      </c>
    </row>
    <row r="708" customHeight="1" spans="2:16">
      <c r="B708" s="8" t="s">
        <v>881</v>
      </c>
      <c r="C708" s="9" t="s">
        <v>270</v>
      </c>
      <c r="D708" s="1">
        <v>41176.46</v>
      </c>
      <c r="E708" s="9"/>
      <c r="G708" s="1" t="s">
        <v>848</v>
      </c>
      <c r="H708" s="1" t="s">
        <v>129</v>
      </c>
      <c r="I708" s="2">
        <v>20476.43</v>
      </c>
      <c r="J708" s="2">
        <v>20476.43</v>
      </c>
      <c r="L708" s="12" t="s">
        <v>851</v>
      </c>
      <c r="M708" s="9" t="s">
        <v>137</v>
      </c>
      <c r="N708" s="21">
        <v>515</v>
      </c>
      <c r="O708" s="22">
        <v>515</v>
      </c>
      <c r="P708" s="23">
        <f>Table2[[#This Row],[Sum of Old TB]]-Table2[[#This Row],[Sum of New TB]]</f>
        <v>0</v>
      </c>
    </row>
    <row r="709" customHeight="1" spans="2:16">
      <c r="B709" s="8" t="s">
        <v>882</v>
      </c>
      <c r="C709" s="9" t="s">
        <v>202</v>
      </c>
      <c r="D709" s="1">
        <v>536</v>
      </c>
      <c r="E709" s="9"/>
      <c r="G709" s="1" t="s">
        <v>849</v>
      </c>
      <c r="H709" s="1" t="s">
        <v>309</v>
      </c>
      <c r="I709" s="2">
        <v>42.19</v>
      </c>
      <c r="J709" s="2">
        <v>42.19</v>
      </c>
      <c r="L709" s="12" t="s">
        <v>852</v>
      </c>
      <c r="M709" s="9" t="s">
        <v>143</v>
      </c>
      <c r="N709" s="21">
        <v>408.46</v>
      </c>
      <c r="O709" s="22">
        <v>408.46</v>
      </c>
      <c r="P709" s="23">
        <f>Table2[[#This Row],[Sum of Old TB]]-Table2[[#This Row],[Sum of New TB]]</f>
        <v>0</v>
      </c>
    </row>
    <row r="710" customHeight="1" spans="2:16">
      <c r="B710" s="8" t="s">
        <v>883</v>
      </c>
      <c r="C710" s="9" t="s">
        <v>204</v>
      </c>
      <c r="D710" s="1">
        <v>3322.2</v>
      </c>
      <c r="E710" s="9"/>
      <c r="G710" s="1" t="s">
        <v>850</v>
      </c>
      <c r="H710" s="1" t="s">
        <v>133</v>
      </c>
      <c r="I710" s="2">
        <v>19965.85</v>
      </c>
      <c r="J710" s="2">
        <v>1965.85</v>
      </c>
      <c r="L710" s="12" t="s">
        <v>853</v>
      </c>
      <c r="M710" s="9" t="s">
        <v>145</v>
      </c>
      <c r="N710" s="21">
        <v>440</v>
      </c>
      <c r="O710" s="22">
        <v>440</v>
      </c>
      <c r="P710" s="23">
        <f>Table2[[#This Row],[Sum of Old TB]]-Table2[[#This Row],[Sum of New TB]]</f>
        <v>0</v>
      </c>
    </row>
    <row r="711" customHeight="1" spans="2:16">
      <c r="B711" s="8" t="s">
        <v>884</v>
      </c>
      <c r="C711" s="9" t="s">
        <v>210</v>
      </c>
      <c r="D711" s="1">
        <v>102853.62</v>
      </c>
      <c r="E711" s="9"/>
      <c r="G711" s="1" t="s">
        <v>851</v>
      </c>
      <c r="H711" s="1" t="s">
        <v>137</v>
      </c>
      <c r="I711" s="2">
        <v>515</v>
      </c>
      <c r="J711" s="2">
        <v>515</v>
      </c>
      <c r="L711" s="12" t="s">
        <v>854</v>
      </c>
      <c r="M711" s="9" t="s">
        <v>147</v>
      </c>
      <c r="N711" s="21">
        <v>9294.72</v>
      </c>
      <c r="O711" s="22">
        <v>9294.72</v>
      </c>
      <c r="P711" s="23">
        <f>Table2[[#This Row],[Sum of Old TB]]-Table2[[#This Row],[Sum of New TB]]</f>
        <v>0</v>
      </c>
    </row>
    <row r="712" customHeight="1" spans="2:16">
      <c r="B712" s="8" t="s">
        <v>885</v>
      </c>
      <c r="C712" s="9" t="s">
        <v>886</v>
      </c>
      <c r="D712" s="1">
        <v>1914308.9</v>
      </c>
      <c r="E712" s="9"/>
      <c r="G712" s="1" t="s">
        <v>852</v>
      </c>
      <c r="H712" s="1" t="s">
        <v>143</v>
      </c>
      <c r="I712" s="2">
        <v>408.46</v>
      </c>
      <c r="J712" s="2">
        <v>408.46</v>
      </c>
      <c r="L712" s="12" t="s">
        <v>855</v>
      </c>
      <c r="M712" s="9" t="s">
        <v>153</v>
      </c>
      <c r="N712" s="21">
        <v>5037.51</v>
      </c>
      <c r="O712" s="22">
        <v>5037.51</v>
      </c>
      <c r="P712" s="23">
        <f>Table2[[#This Row],[Sum of Old TB]]-Table2[[#This Row],[Sum of New TB]]</f>
        <v>0</v>
      </c>
    </row>
    <row r="713" customHeight="1" spans="2:16">
      <c r="B713" s="8" t="s">
        <v>887</v>
      </c>
      <c r="C713" s="9" t="s">
        <v>214</v>
      </c>
      <c r="D713" s="1">
        <v>699.64</v>
      </c>
      <c r="E713" s="9"/>
      <c r="G713" s="1" t="s">
        <v>853</v>
      </c>
      <c r="H713" s="1" t="s">
        <v>145</v>
      </c>
      <c r="I713" s="2">
        <v>440</v>
      </c>
      <c r="J713" s="2">
        <v>440</v>
      </c>
      <c r="L713" s="12" t="s">
        <v>856</v>
      </c>
      <c r="M713" s="9" t="s">
        <v>155</v>
      </c>
      <c r="N713" s="21">
        <v>1687.88</v>
      </c>
      <c r="O713" s="22">
        <v>1687.88</v>
      </c>
      <c r="P713" s="23">
        <f>Table2[[#This Row],[Sum of Old TB]]-Table2[[#This Row],[Sum of New TB]]</f>
        <v>0</v>
      </c>
    </row>
    <row r="714" customHeight="1" spans="2:16">
      <c r="B714" s="8" t="s">
        <v>888</v>
      </c>
      <c r="C714" s="9" t="s">
        <v>216</v>
      </c>
      <c r="D714" s="1">
        <v>136727.76</v>
      </c>
      <c r="E714" s="9"/>
      <c r="G714" s="1" t="s">
        <v>854</v>
      </c>
      <c r="H714" s="1" t="s">
        <v>147</v>
      </c>
      <c r="I714" s="2">
        <v>9294.72</v>
      </c>
      <c r="J714" s="2">
        <v>9294.72</v>
      </c>
      <c r="L714" s="12" t="s">
        <v>858</v>
      </c>
      <c r="M714" s="9" t="s">
        <v>159</v>
      </c>
      <c r="N714" s="21">
        <v>69396.5</v>
      </c>
      <c r="O714" s="22">
        <v>82349.91</v>
      </c>
      <c r="P714" s="23">
        <f>Table2[[#This Row],[Sum of Old TB]]-Table2[[#This Row],[Sum of New TB]]</f>
        <v>-12953.41</v>
      </c>
    </row>
    <row r="715" customHeight="1" spans="2:16">
      <c r="B715" s="8" t="s">
        <v>889</v>
      </c>
      <c r="C715" s="9" t="s">
        <v>431</v>
      </c>
      <c r="D715" s="1">
        <v>46893.63</v>
      </c>
      <c r="E715" s="9"/>
      <c r="G715" s="1" t="s">
        <v>855</v>
      </c>
      <c r="H715" s="1" t="s">
        <v>153</v>
      </c>
      <c r="I715" s="2">
        <v>5037.51</v>
      </c>
      <c r="J715" s="2">
        <v>5037.51</v>
      </c>
      <c r="L715" s="12" t="s">
        <v>890</v>
      </c>
      <c r="M715" s="9" t="s">
        <v>173</v>
      </c>
      <c r="N715" s="21"/>
      <c r="O715" s="22">
        <v>1919355.49</v>
      </c>
      <c r="P715" s="23">
        <f>Table2[[#This Row],[Sum of Old TB]]-Table2[[#This Row],[Sum of New TB]]</f>
        <v>-1919355.49</v>
      </c>
    </row>
    <row r="716" customHeight="1" spans="2:16">
      <c r="B716" s="8" t="s">
        <v>891</v>
      </c>
      <c r="C716" s="9" t="s">
        <v>218</v>
      </c>
      <c r="D716" s="1">
        <v>379035.69</v>
      </c>
      <c r="E716" s="9"/>
      <c r="G716" s="1" t="s">
        <v>856</v>
      </c>
      <c r="H716" s="1" t="s">
        <v>155</v>
      </c>
      <c r="I716" s="2">
        <v>1687.88</v>
      </c>
      <c r="J716" s="2">
        <v>1687.88</v>
      </c>
      <c r="L716" s="12" t="s">
        <v>859</v>
      </c>
      <c r="M716" s="9" t="s">
        <v>161</v>
      </c>
      <c r="N716" s="21">
        <v>420.83</v>
      </c>
      <c r="O716" s="22">
        <v>48386.12</v>
      </c>
      <c r="P716" s="23">
        <f>Table2[[#This Row],[Sum of Old TB]]-Table2[[#This Row],[Sum of New TB]]</f>
        <v>-47965.29</v>
      </c>
    </row>
    <row r="717" customHeight="1" spans="2:16">
      <c r="B717" s="8" t="s">
        <v>892</v>
      </c>
      <c r="C717" s="9" t="s">
        <v>220</v>
      </c>
      <c r="D717" s="1">
        <v>33650</v>
      </c>
      <c r="E717" s="9"/>
      <c r="G717" s="1" t="s">
        <v>858</v>
      </c>
      <c r="H717" s="1" t="s">
        <v>159</v>
      </c>
      <c r="I717" s="2">
        <v>69396.5</v>
      </c>
      <c r="J717" s="2">
        <v>82349.91</v>
      </c>
      <c r="L717" s="12" t="s">
        <v>860</v>
      </c>
      <c r="M717" s="9" t="s">
        <v>252</v>
      </c>
      <c r="N717" s="21">
        <v>11556.45</v>
      </c>
      <c r="O717" s="22">
        <v>11556.45</v>
      </c>
      <c r="P717" s="23">
        <f>Table2[[#This Row],[Sum of Old TB]]-Table2[[#This Row],[Sum of New TB]]</f>
        <v>0</v>
      </c>
    </row>
    <row r="718" customHeight="1" spans="2:16">
      <c r="B718" s="8" t="s">
        <v>893</v>
      </c>
      <c r="C718" s="9" t="s">
        <v>612</v>
      </c>
      <c r="D718" s="1">
        <v>113140.46</v>
      </c>
      <c r="E718" s="9"/>
      <c r="G718" s="1" t="s">
        <v>890</v>
      </c>
      <c r="H718" s="1" t="s">
        <v>173</v>
      </c>
      <c r="J718" s="2">
        <v>1919355.49</v>
      </c>
      <c r="L718" s="12" t="s">
        <v>861</v>
      </c>
      <c r="M718" s="9" t="s">
        <v>165</v>
      </c>
      <c r="N718" s="21">
        <v>3607.68</v>
      </c>
      <c r="O718" s="22">
        <v>3607.68</v>
      </c>
      <c r="P718" s="23">
        <f>Table2[[#This Row],[Sum of Old TB]]-Table2[[#This Row],[Sum of New TB]]</f>
        <v>0</v>
      </c>
    </row>
    <row r="719" customHeight="1" spans="2:16">
      <c r="B719" s="8" t="s">
        <v>894</v>
      </c>
      <c r="C719" s="9" t="s">
        <v>222</v>
      </c>
      <c r="D719" s="1">
        <v>803.14</v>
      </c>
      <c r="E719" s="9"/>
      <c r="G719" s="1" t="s">
        <v>859</v>
      </c>
      <c r="H719" s="1" t="s">
        <v>161</v>
      </c>
      <c r="I719" s="2">
        <v>420.83</v>
      </c>
      <c r="J719" s="2">
        <v>48386.12</v>
      </c>
      <c r="L719" s="12" t="s">
        <v>862</v>
      </c>
      <c r="M719" s="9" t="s">
        <v>469</v>
      </c>
      <c r="N719" s="21">
        <v>5023</v>
      </c>
      <c r="O719" s="22"/>
      <c r="P719" s="23">
        <f>Table2[[#This Row],[Sum of Old TB]]-Table2[[#This Row],[Sum of New TB]]</f>
        <v>5023</v>
      </c>
    </row>
    <row r="720" customHeight="1" spans="2:16">
      <c r="B720" s="8" t="s">
        <v>895</v>
      </c>
      <c r="C720" s="9" t="s">
        <v>542</v>
      </c>
      <c r="D720" s="1">
        <v>17956.93</v>
      </c>
      <c r="E720" s="9"/>
      <c r="G720" s="1" t="s">
        <v>860</v>
      </c>
      <c r="H720" s="1" t="s">
        <v>252</v>
      </c>
      <c r="I720" s="2">
        <v>11556.45</v>
      </c>
      <c r="J720" s="2">
        <v>11556.45</v>
      </c>
      <c r="L720" s="12" t="s">
        <v>863</v>
      </c>
      <c r="M720" s="9" t="s">
        <v>169</v>
      </c>
      <c r="N720" s="21">
        <v>34375</v>
      </c>
      <c r="O720" s="22">
        <v>2700</v>
      </c>
      <c r="P720" s="23">
        <f>Table2[[#This Row],[Sum of Old TB]]-Table2[[#This Row],[Sum of New TB]]</f>
        <v>31675</v>
      </c>
    </row>
    <row r="721" customHeight="1" spans="2:16">
      <c r="B721" s="8" t="s">
        <v>896</v>
      </c>
      <c r="C721" s="9" t="s">
        <v>897</v>
      </c>
      <c r="D721" s="1">
        <v>63210.79</v>
      </c>
      <c r="E721" s="9"/>
      <c r="G721" s="1" t="s">
        <v>861</v>
      </c>
      <c r="H721" s="1" t="s">
        <v>165</v>
      </c>
      <c r="I721" s="2">
        <v>3607.68</v>
      </c>
      <c r="J721" s="2">
        <v>3607.68</v>
      </c>
      <c r="L721" s="12" t="s">
        <v>864</v>
      </c>
      <c r="M721" s="9" t="s">
        <v>175</v>
      </c>
      <c r="N721" s="21">
        <v>30758.1</v>
      </c>
      <c r="O721" s="22">
        <v>30758.1</v>
      </c>
      <c r="P721" s="23">
        <f>Table2[[#This Row],[Sum of Old TB]]-Table2[[#This Row],[Sum of New TB]]</f>
        <v>0</v>
      </c>
    </row>
    <row r="722" customHeight="1" spans="2:16">
      <c r="B722" s="8" t="s">
        <v>898</v>
      </c>
      <c r="C722" s="9" t="s">
        <v>63</v>
      </c>
      <c r="D722" s="1">
        <v>109728.66</v>
      </c>
      <c r="E722" s="9"/>
      <c r="G722" s="1" t="s">
        <v>862</v>
      </c>
      <c r="H722" s="1" t="s">
        <v>469</v>
      </c>
      <c r="I722" s="2">
        <v>5023</v>
      </c>
      <c r="L722" s="12" t="s">
        <v>865</v>
      </c>
      <c r="M722" s="9" t="s">
        <v>177</v>
      </c>
      <c r="N722" s="21">
        <v>16730</v>
      </c>
      <c r="O722" s="22">
        <v>16730</v>
      </c>
      <c r="P722" s="23">
        <f>Table2[[#This Row],[Sum of Old TB]]-Table2[[#This Row],[Sum of New TB]]</f>
        <v>0</v>
      </c>
    </row>
    <row r="723" customHeight="1" spans="2:16">
      <c r="B723" s="8" t="s">
        <v>899</v>
      </c>
      <c r="C723" s="9" t="s">
        <v>107</v>
      </c>
      <c r="D723" s="1">
        <v>-109728.66</v>
      </c>
      <c r="E723" s="9"/>
      <c r="G723" s="1" t="s">
        <v>863</v>
      </c>
      <c r="H723" s="1" t="s">
        <v>169</v>
      </c>
      <c r="I723" s="2">
        <v>34375</v>
      </c>
      <c r="J723" s="2">
        <v>2700</v>
      </c>
      <c r="L723" s="12" t="s">
        <v>866</v>
      </c>
      <c r="M723" s="9" t="s">
        <v>260</v>
      </c>
      <c r="N723" s="21">
        <v>1687.24</v>
      </c>
      <c r="O723" s="22">
        <v>1687.24</v>
      </c>
      <c r="P723" s="23">
        <f>Table2[[#This Row],[Sum of Old TB]]-Table2[[#This Row],[Sum of New TB]]</f>
        <v>0</v>
      </c>
    </row>
    <row r="724" customHeight="1" spans="2:16">
      <c r="B724" s="8" t="s">
        <v>900</v>
      </c>
      <c r="C724" s="9" t="s">
        <v>901</v>
      </c>
      <c r="D724" s="1">
        <v>8491767</v>
      </c>
      <c r="E724" s="9"/>
      <c r="G724" s="1" t="s">
        <v>864</v>
      </c>
      <c r="H724" s="1" t="s">
        <v>175</v>
      </c>
      <c r="I724" s="2">
        <v>30758.1</v>
      </c>
      <c r="J724" s="2">
        <v>30758.1</v>
      </c>
      <c r="L724" s="12" t="s">
        <v>867</v>
      </c>
      <c r="M724" s="9" t="s">
        <v>179</v>
      </c>
      <c r="N724" s="21">
        <v>35535.16</v>
      </c>
      <c r="O724" s="22">
        <v>35535.16</v>
      </c>
      <c r="P724" s="23">
        <f>Table2[[#This Row],[Sum of Old TB]]-Table2[[#This Row],[Sum of New TB]]</f>
        <v>0</v>
      </c>
    </row>
    <row r="725" customHeight="1" spans="2:16">
      <c r="B725" s="8" t="s">
        <v>902</v>
      </c>
      <c r="C725" s="9" t="s">
        <v>903</v>
      </c>
      <c r="D725" s="1">
        <v>160000</v>
      </c>
      <c r="E725" s="9"/>
      <c r="G725" s="1" t="s">
        <v>865</v>
      </c>
      <c r="H725" s="1" t="s">
        <v>177</v>
      </c>
      <c r="I725" s="2">
        <v>16730</v>
      </c>
      <c r="J725" s="2">
        <v>16730</v>
      </c>
      <c r="L725" s="12" t="s">
        <v>868</v>
      </c>
      <c r="M725" s="9" t="s">
        <v>869</v>
      </c>
      <c r="N725" s="21">
        <v>2400</v>
      </c>
      <c r="O725" s="22">
        <v>2400</v>
      </c>
      <c r="P725" s="23">
        <f>Table2[[#This Row],[Sum of Old TB]]-Table2[[#This Row],[Sum of New TB]]</f>
        <v>0</v>
      </c>
    </row>
    <row r="726" customHeight="1" spans="2:16">
      <c r="B726" s="8" t="s">
        <v>904</v>
      </c>
      <c r="C726" s="9" t="s">
        <v>905</v>
      </c>
      <c r="D726" s="1">
        <v>3165350.42</v>
      </c>
      <c r="E726" s="9"/>
      <c r="G726" s="1" t="s">
        <v>866</v>
      </c>
      <c r="H726" s="1" t="s">
        <v>260</v>
      </c>
      <c r="I726" s="2">
        <v>1687.24</v>
      </c>
      <c r="J726" s="2">
        <v>1687.24</v>
      </c>
      <c r="L726" s="12" t="s">
        <v>870</v>
      </c>
      <c r="M726" s="9" t="s">
        <v>185</v>
      </c>
      <c r="N726" s="21">
        <v>21274.13</v>
      </c>
      <c r="O726" s="22">
        <v>21274.13</v>
      </c>
      <c r="P726" s="23">
        <f>Table2[[#This Row],[Sum of Old TB]]-Table2[[#This Row],[Sum of New TB]]</f>
        <v>0</v>
      </c>
    </row>
    <row r="727" customHeight="1" spans="2:16">
      <c r="B727" s="8" t="s">
        <v>906</v>
      </c>
      <c r="C727" s="9" t="s">
        <v>161</v>
      </c>
      <c r="D727" s="1">
        <v>633687.76</v>
      </c>
      <c r="E727" s="9"/>
      <c r="G727" s="1" t="s">
        <v>867</v>
      </c>
      <c r="H727" s="1" t="s">
        <v>179</v>
      </c>
      <c r="I727" s="2">
        <v>35535.16</v>
      </c>
      <c r="J727" s="2">
        <v>35535.16</v>
      </c>
      <c r="L727" s="12" t="s">
        <v>872</v>
      </c>
      <c r="M727" s="9" t="s">
        <v>187</v>
      </c>
      <c r="N727" s="21">
        <v>31821.51</v>
      </c>
      <c r="O727" s="22">
        <v>31821.51</v>
      </c>
      <c r="P727" s="23">
        <f>Table2[[#This Row],[Sum of Old TB]]-Table2[[#This Row],[Sum of New TB]]</f>
        <v>0</v>
      </c>
    </row>
    <row r="728" customHeight="1" spans="2:16">
      <c r="B728" s="8" t="s">
        <v>907</v>
      </c>
      <c r="C728" s="9" t="s">
        <v>908</v>
      </c>
      <c r="D728" s="1">
        <v>841618.1</v>
      </c>
      <c r="E728" s="9"/>
      <c r="G728" s="1" t="s">
        <v>868</v>
      </c>
      <c r="H728" s="1" t="s">
        <v>869</v>
      </c>
      <c r="I728" s="2">
        <v>2400</v>
      </c>
      <c r="J728" s="2">
        <v>2400</v>
      </c>
      <c r="L728" s="12" t="s">
        <v>873</v>
      </c>
      <c r="M728" s="9" t="s">
        <v>189</v>
      </c>
      <c r="N728" s="21">
        <v>193642.27</v>
      </c>
      <c r="O728" s="22">
        <v>180714.35</v>
      </c>
      <c r="P728" s="23">
        <f>Table2[[#This Row],[Sum of Old TB]]-Table2[[#This Row],[Sum of New TB]]</f>
        <v>12927.92</v>
      </c>
    </row>
    <row r="729" customHeight="1" spans="2:16">
      <c r="B729" s="8" t="s">
        <v>909</v>
      </c>
      <c r="C729" s="9" t="s">
        <v>910</v>
      </c>
      <c r="D729" s="1">
        <v>-2078239.03</v>
      </c>
      <c r="E729" s="9"/>
      <c r="G729" s="1" t="s">
        <v>870</v>
      </c>
      <c r="H729" s="1" t="s">
        <v>185</v>
      </c>
      <c r="I729" s="2">
        <v>21274.13</v>
      </c>
      <c r="J729" s="2">
        <v>21274.13</v>
      </c>
      <c r="L729" s="12" t="s">
        <v>874</v>
      </c>
      <c r="M729" s="9" t="s">
        <v>191</v>
      </c>
      <c r="N729" s="21">
        <v>13932.72</v>
      </c>
      <c r="O729" s="22">
        <v>13932.72</v>
      </c>
      <c r="P729" s="23">
        <f>Table2[[#This Row],[Sum of Old TB]]-Table2[[#This Row],[Sum of New TB]]</f>
        <v>0</v>
      </c>
    </row>
    <row r="730" customHeight="1" spans="2:16">
      <c r="B730" s="8" t="s">
        <v>911</v>
      </c>
      <c r="C730" s="9" t="s">
        <v>912</v>
      </c>
      <c r="D730" s="1">
        <v>362042.5</v>
      </c>
      <c r="E730" s="9"/>
      <c r="G730" s="1" t="s">
        <v>872</v>
      </c>
      <c r="H730" s="1" t="s">
        <v>187</v>
      </c>
      <c r="I730" s="2">
        <v>31821.51</v>
      </c>
      <c r="J730" s="2">
        <v>31821.51</v>
      </c>
      <c r="L730" s="12" t="s">
        <v>875</v>
      </c>
      <c r="M730" s="9" t="s">
        <v>511</v>
      </c>
      <c r="N730" s="21">
        <v>193</v>
      </c>
      <c r="O730" s="22">
        <v>193</v>
      </c>
      <c r="P730" s="23">
        <f>Table2[[#This Row],[Sum of Old TB]]-Table2[[#This Row],[Sum of New TB]]</f>
        <v>0</v>
      </c>
    </row>
    <row r="731" customHeight="1" spans="2:16">
      <c r="B731" s="8" t="s">
        <v>913</v>
      </c>
      <c r="C731" s="9" t="s">
        <v>63</v>
      </c>
      <c r="D731" s="1">
        <v>-469751.43</v>
      </c>
      <c r="E731" s="9"/>
      <c r="G731" s="1" t="s">
        <v>873</v>
      </c>
      <c r="H731" s="1" t="s">
        <v>189</v>
      </c>
      <c r="I731" s="2">
        <v>193642.27</v>
      </c>
      <c r="J731" s="2">
        <v>180714.35</v>
      </c>
      <c r="L731" s="12" t="s">
        <v>876</v>
      </c>
      <c r="M731" s="9" t="s">
        <v>193</v>
      </c>
      <c r="N731" s="21">
        <v>3715</v>
      </c>
      <c r="O731" s="22">
        <v>3715</v>
      </c>
      <c r="P731" s="23">
        <f>Table2[[#This Row],[Sum of Old TB]]-Table2[[#This Row],[Sum of New TB]]</f>
        <v>0</v>
      </c>
    </row>
    <row r="732" customHeight="1" spans="2:16">
      <c r="B732" s="8" t="s">
        <v>914</v>
      </c>
      <c r="C732" s="9" t="s">
        <v>915</v>
      </c>
      <c r="D732" s="1">
        <v>-11106475.32</v>
      </c>
      <c r="E732" s="9"/>
      <c r="G732" s="1" t="s">
        <v>874</v>
      </c>
      <c r="H732" s="1" t="s">
        <v>191</v>
      </c>
      <c r="I732" s="2">
        <v>13932.72</v>
      </c>
      <c r="J732" s="2">
        <v>13932.72</v>
      </c>
      <c r="L732" s="12" t="s">
        <v>877</v>
      </c>
      <c r="M732" s="9" t="s">
        <v>878</v>
      </c>
      <c r="N732" s="21">
        <v>7314.4</v>
      </c>
      <c r="O732" s="22">
        <v>7314.4</v>
      </c>
      <c r="P732" s="23">
        <f>Table2[[#This Row],[Sum of Old TB]]-Table2[[#This Row],[Sum of New TB]]</f>
        <v>0</v>
      </c>
    </row>
    <row r="733" customHeight="1" spans="2:16">
      <c r="B733" s="8" t="s">
        <v>916</v>
      </c>
      <c r="C733" s="9" t="s">
        <v>40</v>
      </c>
      <c r="D733" s="1">
        <v>-1280386.19</v>
      </c>
      <c r="E733" s="9"/>
      <c r="G733" s="1" t="s">
        <v>875</v>
      </c>
      <c r="H733" s="1" t="s">
        <v>511</v>
      </c>
      <c r="I733" s="2">
        <v>193</v>
      </c>
      <c r="J733" s="2">
        <v>193</v>
      </c>
      <c r="L733" s="12" t="s">
        <v>879</v>
      </c>
      <c r="M733" s="9" t="s">
        <v>197</v>
      </c>
      <c r="N733" s="21">
        <v>118193.66</v>
      </c>
      <c r="O733" s="22">
        <v>118193.66</v>
      </c>
      <c r="P733" s="23">
        <f>Table2[[#This Row],[Sum of Old TB]]-Table2[[#This Row],[Sum of New TB]]</f>
        <v>0</v>
      </c>
    </row>
    <row r="734" customHeight="1" spans="2:16">
      <c r="B734" s="8" t="s">
        <v>917</v>
      </c>
      <c r="C734" s="9" t="s">
        <v>918</v>
      </c>
      <c r="D734" s="1">
        <v>-62710.26</v>
      </c>
      <c r="E734" s="9"/>
      <c r="G734" s="1" t="s">
        <v>876</v>
      </c>
      <c r="H734" s="1" t="s">
        <v>193</v>
      </c>
      <c r="I734" s="2">
        <v>3715</v>
      </c>
      <c r="J734" s="2">
        <v>3715</v>
      </c>
      <c r="L734" s="12" t="s">
        <v>880</v>
      </c>
      <c r="M734" s="9" t="s">
        <v>200</v>
      </c>
      <c r="N734" s="21">
        <v>30667.32</v>
      </c>
      <c r="O734" s="22">
        <v>30667.32</v>
      </c>
      <c r="P734" s="23">
        <f>Table2[[#This Row],[Sum of Old TB]]-Table2[[#This Row],[Sum of New TB]]</f>
        <v>0</v>
      </c>
    </row>
    <row r="735" customHeight="1" spans="2:16">
      <c r="B735" s="8" t="s">
        <v>919</v>
      </c>
      <c r="C735" s="9" t="s">
        <v>920</v>
      </c>
      <c r="D735" s="1">
        <v>-585033.73</v>
      </c>
      <c r="E735" s="9"/>
      <c r="G735" s="1" t="s">
        <v>877</v>
      </c>
      <c r="H735" s="1" t="s">
        <v>878</v>
      </c>
      <c r="I735" s="2">
        <v>7314.4</v>
      </c>
      <c r="J735" s="2">
        <v>7314.4</v>
      </c>
      <c r="L735" s="12" t="s">
        <v>881</v>
      </c>
      <c r="M735" s="9" t="s">
        <v>270</v>
      </c>
      <c r="N735" s="21">
        <v>41176.46</v>
      </c>
      <c r="O735" s="22">
        <v>41176.46</v>
      </c>
      <c r="P735" s="23">
        <f>Table2[[#This Row],[Sum of Old TB]]-Table2[[#This Row],[Sum of New TB]]</f>
        <v>0</v>
      </c>
    </row>
    <row r="736" customHeight="1" spans="2:16">
      <c r="B736" s="8" t="s">
        <v>921</v>
      </c>
      <c r="C736" s="9" t="s">
        <v>922</v>
      </c>
      <c r="D736" s="1">
        <v>-1763664.54</v>
      </c>
      <c r="E736" s="9"/>
      <c r="G736" s="1" t="s">
        <v>879</v>
      </c>
      <c r="H736" s="1" t="s">
        <v>197</v>
      </c>
      <c r="I736" s="2">
        <v>118193.66</v>
      </c>
      <c r="J736" s="2">
        <v>118193.66</v>
      </c>
      <c r="L736" s="12" t="s">
        <v>882</v>
      </c>
      <c r="M736" s="9" t="s">
        <v>202</v>
      </c>
      <c r="N736" s="21">
        <v>536</v>
      </c>
      <c r="O736" s="22">
        <v>536</v>
      </c>
      <c r="P736" s="23">
        <f>Table2[[#This Row],[Sum of Old TB]]-Table2[[#This Row],[Sum of New TB]]</f>
        <v>0</v>
      </c>
    </row>
    <row r="737" customHeight="1" spans="2:16">
      <c r="B737" s="8" t="s">
        <v>923</v>
      </c>
      <c r="C737" s="9" t="s">
        <v>924</v>
      </c>
      <c r="D737" s="1">
        <v>-83465.47</v>
      </c>
      <c r="E737" s="9"/>
      <c r="G737" s="1" t="s">
        <v>880</v>
      </c>
      <c r="H737" s="1" t="s">
        <v>200</v>
      </c>
      <c r="I737" s="2">
        <v>30667.32</v>
      </c>
      <c r="J737" s="2">
        <v>30667.32</v>
      </c>
      <c r="L737" s="12" t="s">
        <v>883</v>
      </c>
      <c r="M737" s="9" t="s">
        <v>204</v>
      </c>
      <c r="N737" s="21">
        <v>3322.2</v>
      </c>
      <c r="O737" s="22">
        <v>3322.2</v>
      </c>
      <c r="P737" s="23">
        <f>Table2[[#This Row],[Sum of Old TB]]-Table2[[#This Row],[Sum of New TB]]</f>
        <v>0</v>
      </c>
    </row>
    <row r="738" customHeight="1" spans="2:16">
      <c r="B738" s="8" t="s">
        <v>925</v>
      </c>
      <c r="C738" s="9" t="s">
        <v>926</v>
      </c>
      <c r="D738" s="1">
        <v>-49431.46</v>
      </c>
      <c r="E738" s="9"/>
      <c r="G738" s="1" t="s">
        <v>881</v>
      </c>
      <c r="H738" s="1" t="s">
        <v>270</v>
      </c>
      <c r="I738" s="2">
        <v>41176.46</v>
      </c>
      <c r="J738" s="2">
        <v>41176.46</v>
      </c>
      <c r="L738" s="12" t="s">
        <v>884</v>
      </c>
      <c r="M738" s="9" t="s">
        <v>210</v>
      </c>
      <c r="N738" s="21">
        <v>102853.62</v>
      </c>
      <c r="O738" s="22">
        <v>113996.52</v>
      </c>
      <c r="P738" s="23">
        <f>Table2[[#This Row],[Sum of Old TB]]-Table2[[#This Row],[Sum of New TB]]</f>
        <v>-11142.9</v>
      </c>
    </row>
    <row r="739" customHeight="1" spans="2:16">
      <c r="B739" s="8" t="s">
        <v>927</v>
      </c>
      <c r="C739" s="9" t="s">
        <v>928</v>
      </c>
      <c r="D739" s="1">
        <v>-7101312.03</v>
      </c>
      <c r="E739" s="9"/>
      <c r="G739" s="1" t="s">
        <v>882</v>
      </c>
      <c r="H739" s="1" t="s">
        <v>202</v>
      </c>
      <c r="I739" s="2">
        <v>536</v>
      </c>
      <c r="J739" s="2">
        <v>536</v>
      </c>
      <c r="L739" s="12" t="s">
        <v>885</v>
      </c>
      <c r="M739" s="9" t="s">
        <v>886</v>
      </c>
      <c r="N739" s="21">
        <v>1914308.9</v>
      </c>
      <c r="O739" s="22"/>
      <c r="P739" s="23">
        <f>Table2[[#This Row],[Sum of Old TB]]-Table2[[#This Row],[Sum of New TB]]</f>
        <v>1914308.9</v>
      </c>
    </row>
    <row r="740" customHeight="1" spans="2:16">
      <c r="B740" s="8" t="s">
        <v>929</v>
      </c>
      <c r="C740" s="9" t="s">
        <v>930</v>
      </c>
      <c r="D740" s="1">
        <v>-929258.24</v>
      </c>
      <c r="E740" s="9"/>
      <c r="G740" s="1" t="s">
        <v>883</v>
      </c>
      <c r="H740" s="1" t="s">
        <v>204</v>
      </c>
      <c r="I740" s="2">
        <v>3322.2</v>
      </c>
      <c r="J740" s="2">
        <v>3322.2</v>
      </c>
      <c r="L740" s="12" t="s">
        <v>887</v>
      </c>
      <c r="M740" s="9" t="s">
        <v>214</v>
      </c>
      <c r="N740" s="21">
        <v>699.64</v>
      </c>
      <c r="O740" s="22">
        <v>699.64</v>
      </c>
      <c r="P740" s="23">
        <f>Table2[[#This Row],[Sum of Old TB]]-Table2[[#This Row],[Sum of New TB]]</f>
        <v>0</v>
      </c>
    </row>
    <row r="741" customHeight="1" spans="2:16">
      <c r="B741" s="8" t="s">
        <v>931</v>
      </c>
      <c r="C741" s="9" t="s">
        <v>63</v>
      </c>
      <c r="D741" s="1">
        <v>7484182.53</v>
      </c>
      <c r="E741" s="9"/>
      <c r="G741" s="1" t="s">
        <v>884</v>
      </c>
      <c r="H741" s="1" t="s">
        <v>210</v>
      </c>
      <c r="I741" s="2">
        <v>102853.62</v>
      </c>
      <c r="J741" s="2">
        <v>113996.52</v>
      </c>
      <c r="L741" s="12" t="s">
        <v>888</v>
      </c>
      <c r="M741" s="9" t="s">
        <v>216</v>
      </c>
      <c r="N741" s="21">
        <v>136727.76</v>
      </c>
      <c r="O741" s="22">
        <v>136727.76</v>
      </c>
      <c r="P741" s="23">
        <f>Table2[[#This Row],[Sum of Old TB]]-Table2[[#This Row],[Sum of New TB]]</f>
        <v>0</v>
      </c>
    </row>
    <row r="742" customHeight="1" spans="2:16">
      <c r="B742" s="8" t="s">
        <v>932</v>
      </c>
      <c r="C742" s="9" t="s">
        <v>915</v>
      </c>
      <c r="D742" s="1">
        <v>4371079.39</v>
      </c>
      <c r="E742" s="9"/>
      <c r="G742" s="1" t="s">
        <v>885</v>
      </c>
      <c r="H742" s="1" t="s">
        <v>886</v>
      </c>
      <c r="I742" s="2">
        <v>1914308.9</v>
      </c>
      <c r="L742" s="12" t="s">
        <v>889</v>
      </c>
      <c r="M742" s="9" t="s">
        <v>431</v>
      </c>
      <c r="N742" s="21">
        <v>46893.63</v>
      </c>
      <c r="O742" s="22">
        <v>46893.63</v>
      </c>
      <c r="P742" s="23">
        <f>Table2[[#This Row],[Sum of Old TB]]-Table2[[#This Row],[Sum of New TB]]</f>
        <v>0</v>
      </c>
    </row>
    <row r="743" customHeight="1" spans="2:16">
      <c r="B743" s="24" t="s">
        <v>8</v>
      </c>
      <c r="C743" s="25" t="s">
        <v>9</v>
      </c>
      <c r="D743" s="26"/>
      <c r="E743" s="27">
        <v>788177.94</v>
      </c>
      <c r="G743" s="1" t="s">
        <v>887</v>
      </c>
      <c r="H743" s="1" t="s">
        <v>214</v>
      </c>
      <c r="I743" s="2">
        <v>699.64</v>
      </c>
      <c r="J743" s="2">
        <v>699.64</v>
      </c>
      <c r="L743" s="12" t="s">
        <v>891</v>
      </c>
      <c r="M743" s="9" t="s">
        <v>218</v>
      </c>
      <c r="N743" s="21">
        <v>379035.69</v>
      </c>
      <c r="O743" s="22">
        <v>467444.04</v>
      </c>
      <c r="P743" s="23">
        <f>Table2[[#This Row],[Sum of Old TB]]-Table2[[#This Row],[Sum of New TB]]</f>
        <v>-88408.35</v>
      </c>
    </row>
    <row r="744" customHeight="1" spans="2:16">
      <c r="B744" s="24" t="s">
        <v>10</v>
      </c>
      <c r="C744" s="25" t="s">
        <v>11</v>
      </c>
      <c r="D744" s="26"/>
      <c r="E744" s="27">
        <v>-77476.81</v>
      </c>
      <c r="G744" s="1" t="s">
        <v>888</v>
      </c>
      <c r="H744" s="1" t="s">
        <v>216</v>
      </c>
      <c r="I744" s="2">
        <v>136727.76</v>
      </c>
      <c r="J744" s="2">
        <v>136727.76</v>
      </c>
      <c r="L744" s="12" t="s">
        <v>892</v>
      </c>
      <c r="M744" s="9" t="s">
        <v>220</v>
      </c>
      <c r="N744" s="21">
        <v>33650</v>
      </c>
      <c r="O744" s="22">
        <v>33650</v>
      </c>
      <c r="P744" s="23">
        <f>Table2[[#This Row],[Sum of Old TB]]-Table2[[#This Row],[Sum of New TB]]</f>
        <v>0</v>
      </c>
    </row>
    <row r="745" customHeight="1" spans="2:16">
      <c r="B745" s="24" t="s">
        <v>12</v>
      </c>
      <c r="C745" s="25" t="s">
        <v>13</v>
      </c>
      <c r="D745" s="26"/>
      <c r="E745" s="27">
        <v>12631.96</v>
      </c>
      <c r="G745" s="1" t="s">
        <v>889</v>
      </c>
      <c r="H745" s="1" t="s">
        <v>431</v>
      </c>
      <c r="I745" s="2">
        <v>46893.63</v>
      </c>
      <c r="J745" s="2">
        <v>46893.63</v>
      </c>
      <c r="L745" s="12" t="s">
        <v>893</v>
      </c>
      <c r="M745" s="9" t="s">
        <v>612</v>
      </c>
      <c r="N745" s="21">
        <v>113140.46</v>
      </c>
      <c r="O745" s="22">
        <v>107020.56</v>
      </c>
      <c r="P745" s="23">
        <f>Table2[[#This Row],[Sum of Old TB]]-Table2[[#This Row],[Sum of New TB]]</f>
        <v>6119.90000000001</v>
      </c>
    </row>
    <row r="746" customHeight="1" spans="2:16">
      <c r="B746" s="24" t="s">
        <v>14</v>
      </c>
      <c r="C746" s="25" t="s">
        <v>15</v>
      </c>
      <c r="D746" s="26"/>
      <c r="E746" s="27">
        <v>7274874.46</v>
      </c>
      <c r="G746" s="1" t="s">
        <v>891</v>
      </c>
      <c r="H746" s="1" t="s">
        <v>218</v>
      </c>
      <c r="I746" s="2">
        <v>379035.69</v>
      </c>
      <c r="J746" s="2">
        <v>467444.04</v>
      </c>
      <c r="L746" s="12" t="s">
        <v>894</v>
      </c>
      <c r="M746" s="9" t="s">
        <v>222</v>
      </c>
      <c r="N746" s="21">
        <v>803.14</v>
      </c>
      <c r="O746" s="22">
        <v>803.14</v>
      </c>
      <c r="P746" s="23">
        <f>Table2[[#This Row],[Sum of Old TB]]-Table2[[#This Row],[Sum of New TB]]</f>
        <v>0</v>
      </c>
    </row>
    <row r="747" customHeight="1" spans="2:16">
      <c r="B747" s="24" t="s">
        <v>37</v>
      </c>
      <c r="C747" s="25" t="s">
        <v>38</v>
      </c>
      <c r="D747" s="26"/>
      <c r="E747" s="27">
        <v>52477.31</v>
      </c>
      <c r="G747" s="1" t="s">
        <v>892</v>
      </c>
      <c r="H747" s="1" t="s">
        <v>220</v>
      </c>
      <c r="I747" s="2">
        <v>33650</v>
      </c>
      <c r="J747" s="2">
        <v>33650</v>
      </c>
      <c r="L747" s="12" t="s">
        <v>895</v>
      </c>
      <c r="M747" s="9" t="s">
        <v>542</v>
      </c>
      <c r="N747" s="21">
        <v>17956.93</v>
      </c>
      <c r="O747" s="22">
        <v>17956.93</v>
      </c>
      <c r="P747" s="23">
        <f>Table2[[#This Row],[Sum of Old TB]]-Table2[[#This Row],[Sum of New TB]]</f>
        <v>0</v>
      </c>
    </row>
    <row r="748" customHeight="1" spans="2:16">
      <c r="B748" s="24" t="s">
        <v>16</v>
      </c>
      <c r="C748" s="25" t="s">
        <v>17</v>
      </c>
      <c r="D748" s="26"/>
      <c r="E748" s="27">
        <v>35486.43</v>
      </c>
      <c r="G748" s="1" t="s">
        <v>893</v>
      </c>
      <c r="H748" s="1" t="s">
        <v>612</v>
      </c>
      <c r="I748" s="2">
        <v>113140.46</v>
      </c>
      <c r="J748" s="2">
        <v>107020.56</v>
      </c>
      <c r="L748" s="12" t="s">
        <v>896</v>
      </c>
      <c r="M748" s="9" t="s">
        <v>897</v>
      </c>
      <c r="N748" s="21">
        <v>63210.79</v>
      </c>
      <c r="O748" s="22">
        <v>6477.44</v>
      </c>
      <c r="P748" s="23">
        <f>Table2[[#This Row],[Sum of Old TB]]-Table2[[#This Row],[Sum of New TB]]</f>
        <v>56733.35</v>
      </c>
    </row>
    <row r="749" customHeight="1" spans="2:16">
      <c r="B749" s="24" t="s">
        <v>18</v>
      </c>
      <c r="C749" s="25" t="s">
        <v>19</v>
      </c>
      <c r="D749" s="26"/>
      <c r="E749" s="27">
        <v>7045.07</v>
      </c>
      <c r="G749" s="1" t="s">
        <v>894</v>
      </c>
      <c r="H749" s="1" t="s">
        <v>222</v>
      </c>
      <c r="I749" s="2">
        <v>803.14</v>
      </c>
      <c r="J749" s="2">
        <v>803.14</v>
      </c>
      <c r="L749" s="12" t="s">
        <v>898</v>
      </c>
      <c r="M749" s="9" t="s">
        <v>63</v>
      </c>
      <c r="N749" s="21">
        <v>109728.66</v>
      </c>
      <c r="O749" s="22">
        <v>109728.66</v>
      </c>
      <c r="P749" s="23">
        <f>Table2[[#This Row],[Sum of Old TB]]-Table2[[#This Row],[Sum of New TB]]</f>
        <v>0</v>
      </c>
    </row>
    <row r="750" customHeight="1" spans="2:16">
      <c r="B750" s="24" t="s">
        <v>20</v>
      </c>
      <c r="C750" s="25" t="s">
        <v>21</v>
      </c>
      <c r="D750" s="26"/>
      <c r="E750" s="27">
        <v>-500</v>
      </c>
      <c r="G750" s="1" t="s">
        <v>895</v>
      </c>
      <c r="H750" s="1" t="s">
        <v>542</v>
      </c>
      <c r="I750" s="2">
        <v>17956.93</v>
      </c>
      <c r="J750" s="2">
        <v>17956.93</v>
      </c>
      <c r="L750" s="12" t="s">
        <v>899</v>
      </c>
      <c r="M750" s="9" t="s">
        <v>107</v>
      </c>
      <c r="N750" s="21">
        <v>-109728.66</v>
      </c>
      <c r="O750" s="22">
        <v>-109728.66</v>
      </c>
      <c r="P750" s="23">
        <f>Table2[[#This Row],[Sum of Old TB]]-Table2[[#This Row],[Sum of New TB]]</f>
        <v>0</v>
      </c>
    </row>
    <row r="751" customHeight="1" spans="2:16">
      <c r="B751" s="24" t="s">
        <v>22</v>
      </c>
      <c r="C751" s="25" t="s">
        <v>23</v>
      </c>
      <c r="D751" s="26"/>
      <c r="E751" s="27">
        <v>975400.76</v>
      </c>
      <c r="G751" s="1" t="s">
        <v>896</v>
      </c>
      <c r="H751" s="1" t="s">
        <v>897</v>
      </c>
      <c r="I751" s="2">
        <v>63210.79</v>
      </c>
      <c r="J751" s="2">
        <v>6477.44</v>
      </c>
      <c r="L751" s="12" t="s">
        <v>900</v>
      </c>
      <c r="M751" s="9" t="s">
        <v>901</v>
      </c>
      <c r="N751" s="21">
        <v>8491767</v>
      </c>
      <c r="O751" s="22">
        <v>8491767</v>
      </c>
      <c r="P751" s="23">
        <f>Table2[[#This Row],[Sum of Old TB]]-Table2[[#This Row],[Sum of New TB]]</f>
        <v>0</v>
      </c>
    </row>
    <row r="752" customHeight="1" spans="2:16">
      <c r="B752" s="24" t="s">
        <v>39</v>
      </c>
      <c r="C752" s="25" t="s">
        <v>40</v>
      </c>
      <c r="D752" s="26"/>
      <c r="E752" s="27">
        <v>-9205428.99</v>
      </c>
      <c r="G752" s="1" t="s">
        <v>898</v>
      </c>
      <c r="H752" s="1" t="s">
        <v>63</v>
      </c>
      <c r="I752" s="2">
        <v>109728.66</v>
      </c>
      <c r="J752" s="2">
        <v>109728.66</v>
      </c>
      <c r="L752" s="12" t="s">
        <v>902</v>
      </c>
      <c r="M752" s="9" t="s">
        <v>903</v>
      </c>
      <c r="N752" s="21">
        <v>160000</v>
      </c>
      <c r="O752" s="22">
        <v>170648.32</v>
      </c>
      <c r="P752" s="23">
        <f>Table2[[#This Row],[Sum of Old TB]]-Table2[[#This Row],[Sum of New TB]]</f>
        <v>-10648.32</v>
      </c>
    </row>
    <row r="753" customHeight="1" spans="2:16">
      <c r="B753" s="24" t="s">
        <v>41</v>
      </c>
      <c r="C753" s="25" t="s">
        <v>42</v>
      </c>
      <c r="D753" s="26"/>
      <c r="E753" s="27">
        <v>-159315.92</v>
      </c>
      <c r="G753" s="1" t="s">
        <v>899</v>
      </c>
      <c r="H753" s="1" t="s">
        <v>107</v>
      </c>
      <c r="I753" s="2">
        <v>-109728.66</v>
      </c>
      <c r="J753" s="2">
        <v>-109728.66</v>
      </c>
      <c r="L753" s="12" t="s">
        <v>904</v>
      </c>
      <c r="M753" s="9" t="s">
        <v>905</v>
      </c>
      <c r="N753" s="21">
        <v>3165350.42</v>
      </c>
      <c r="O753" s="22">
        <v>3266540.66</v>
      </c>
      <c r="P753" s="23">
        <f>Table2[[#This Row],[Sum of Old TB]]-Table2[[#This Row],[Sum of New TB]]</f>
        <v>-101190.24</v>
      </c>
    </row>
    <row r="754" customHeight="1" spans="2:16">
      <c r="B754" s="24" t="s">
        <v>43</v>
      </c>
      <c r="C754" s="25" t="s">
        <v>44</v>
      </c>
      <c r="D754" s="26"/>
      <c r="E754" s="27">
        <v>6211.55</v>
      </c>
      <c r="G754" s="1" t="s">
        <v>900</v>
      </c>
      <c r="H754" s="1" t="s">
        <v>901</v>
      </c>
      <c r="I754" s="2">
        <v>8491767</v>
      </c>
      <c r="J754" s="2">
        <v>8491767</v>
      </c>
      <c r="L754" s="12" t="s">
        <v>906</v>
      </c>
      <c r="M754" s="9" t="s">
        <v>161</v>
      </c>
      <c r="N754" s="21">
        <v>633687.76</v>
      </c>
      <c r="O754" s="22">
        <v>798200.26</v>
      </c>
      <c r="P754" s="23">
        <f>Table2[[#This Row],[Sum of Old TB]]-Table2[[#This Row],[Sum of New TB]]</f>
        <v>-164512.5</v>
      </c>
    </row>
    <row r="755" customHeight="1" spans="2:16">
      <c r="B755" s="24" t="s">
        <v>45</v>
      </c>
      <c r="C755" s="25" t="s">
        <v>42</v>
      </c>
      <c r="D755" s="26"/>
      <c r="E755" s="27">
        <v>-8048.8</v>
      </c>
      <c r="G755" s="1" t="s">
        <v>902</v>
      </c>
      <c r="H755" s="1" t="s">
        <v>903</v>
      </c>
      <c r="I755" s="2">
        <v>160000</v>
      </c>
      <c r="J755" s="2">
        <v>170648.32</v>
      </c>
      <c r="L755" s="12" t="s">
        <v>907</v>
      </c>
      <c r="M755" s="9" t="s">
        <v>908</v>
      </c>
      <c r="N755" s="21">
        <v>841618.1</v>
      </c>
      <c r="O755" s="22">
        <v>841618.1</v>
      </c>
      <c r="P755" s="23">
        <f>Table2[[#This Row],[Sum of Old TB]]-Table2[[#This Row],[Sum of New TB]]</f>
        <v>0</v>
      </c>
    </row>
    <row r="756" customHeight="1" spans="2:16">
      <c r="B756" s="24" t="s">
        <v>46</v>
      </c>
      <c r="C756" s="25" t="s">
        <v>47</v>
      </c>
      <c r="D756" s="26"/>
      <c r="E756" s="27">
        <v>182.01</v>
      </c>
      <c r="G756" s="1" t="s">
        <v>904</v>
      </c>
      <c r="H756" s="1" t="s">
        <v>905</v>
      </c>
      <c r="I756" s="2">
        <v>3165350.42</v>
      </c>
      <c r="J756" s="2">
        <v>3266540.66</v>
      </c>
      <c r="L756" s="12" t="s">
        <v>933</v>
      </c>
      <c r="M756" s="9" t="s">
        <v>934</v>
      </c>
      <c r="N756" s="21"/>
      <c r="O756" s="22">
        <v>92404.47</v>
      </c>
      <c r="P756" s="23">
        <f>Table2[[#This Row],[Sum of Old TB]]-Table2[[#This Row],[Sum of New TB]]</f>
        <v>-92404.47</v>
      </c>
    </row>
    <row r="757" customHeight="1" spans="2:16">
      <c r="B757" s="24" t="s">
        <v>24</v>
      </c>
      <c r="C757" s="25" t="s">
        <v>25</v>
      </c>
      <c r="D757" s="26"/>
      <c r="E757" s="27">
        <v>-22045</v>
      </c>
      <c r="G757" s="1" t="s">
        <v>906</v>
      </c>
      <c r="H757" s="1" t="s">
        <v>161</v>
      </c>
      <c r="I757" s="2">
        <v>633687.76</v>
      </c>
      <c r="J757" s="2">
        <v>798200.26</v>
      </c>
      <c r="L757" s="12" t="s">
        <v>909</v>
      </c>
      <c r="M757" s="9" t="s">
        <v>910</v>
      </c>
      <c r="N757" s="21">
        <v>-2078239.03</v>
      </c>
      <c r="O757" s="22">
        <v>-2304180.84</v>
      </c>
      <c r="P757" s="23">
        <f>Table2[[#This Row],[Sum of Old TB]]-Table2[[#This Row],[Sum of New TB]]</f>
        <v>225941.81</v>
      </c>
    </row>
    <row r="758" customHeight="1" spans="2:16">
      <c r="B758" s="24" t="s">
        <v>48</v>
      </c>
      <c r="C758" s="25" t="s">
        <v>49</v>
      </c>
      <c r="D758" s="26"/>
      <c r="E758" s="27">
        <v>-20717.82</v>
      </c>
      <c r="G758" s="1" t="s">
        <v>907</v>
      </c>
      <c r="H758" s="1" t="s">
        <v>908</v>
      </c>
      <c r="I758" s="2">
        <v>841618.1</v>
      </c>
      <c r="J758" s="2">
        <v>841618.1</v>
      </c>
      <c r="L758" s="12" t="s">
        <v>911</v>
      </c>
      <c r="M758" s="9" t="s">
        <v>912</v>
      </c>
      <c r="N758" s="21">
        <v>362042.5</v>
      </c>
      <c r="O758" s="22">
        <v>2477982.62</v>
      </c>
      <c r="P758" s="23">
        <f>Table2[[#This Row],[Sum of Old TB]]-Table2[[#This Row],[Sum of New TB]]</f>
        <v>-2115940.12</v>
      </c>
    </row>
    <row r="759" customHeight="1" spans="2:16">
      <c r="B759" s="24" t="s">
        <v>50</v>
      </c>
      <c r="C759" s="25" t="s">
        <v>51</v>
      </c>
      <c r="D759" s="26"/>
      <c r="E759" s="27">
        <v>-69762.05</v>
      </c>
      <c r="G759" s="1" t="s">
        <v>933</v>
      </c>
      <c r="H759" s="1" t="s">
        <v>934</v>
      </c>
      <c r="J759" s="2">
        <v>92404.47</v>
      </c>
      <c r="L759" s="12" t="s">
        <v>935</v>
      </c>
      <c r="M759" s="9" t="s">
        <v>137</v>
      </c>
      <c r="N759" s="21"/>
      <c r="O759" s="22">
        <v>103812.63</v>
      </c>
      <c r="P759" s="23">
        <f>Table2[[#This Row],[Sum of Old TB]]-Table2[[#This Row],[Sum of New TB]]</f>
        <v>-103812.63</v>
      </c>
    </row>
    <row r="760" customHeight="1" spans="2:16">
      <c r="B760" s="24" t="s">
        <v>52</v>
      </c>
      <c r="C760" s="25" t="s">
        <v>53</v>
      </c>
      <c r="D760" s="26"/>
      <c r="E760" s="27">
        <v>2538</v>
      </c>
      <c r="G760" s="1" t="s">
        <v>909</v>
      </c>
      <c r="H760" s="1" t="s">
        <v>910</v>
      </c>
      <c r="I760" s="2">
        <v>-2078239.03</v>
      </c>
      <c r="J760" s="2">
        <v>-2304180.84</v>
      </c>
      <c r="L760" s="12" t="s">
        <v>936</v>
      </c>
      <c r="M760" s="9" t="s">
        <v>937</v>
      </c>
      <c r="N760" s="21"/>
      <c r="O760" s="22">
        <v>-8485.25</v>
      </c>
      <c r="P760" s="23">
        <f>Table2[[#This Row],[Sum of Old TB]]-Table2[[#This Row],[Sum of New TB]]</f>
        <v>8485.25</v>
      </c>
    </row>
    <row r="761" customHeight="1" spans="2:16">
      <c r="B761" s="24" t="s">
        <v>54</v>
      </c>
      <c r="C761" s="25" t="s">
        <v>55</v>
      </c>
      <c r="D761" s="26"/>
      <c r="E761" s="27">
        <v>-3176.21</v>
      </c>
      <c r="G761" s="1" t="s">
        <v>911</v>
      </c>
      <c r="H761" s="1" t="s">
        <v>912</v>
      </c>
      <c r="I761" s="2">
        <v>362042.5</v>
      </c>
      <c r="J761" s="2">
        <v>2477982.62</v>
      </c>
      <c r="L761" s="12" t="s">
        <v>938</v>
      </c>
      <c r="M761" s="9" t="s">
        <v>939</v>
      </c>
      <c r="N761" s="21"/>
      <c r="O761" s="22">
        <v>-25966</v>
      </c>
      <c r="P761" s="23">
        <f>Table2[[#This Row],[Sum of Old TB]]-Table2[[#This Row],[Sum of New TB]]</f>
        <v>25966</v>
      </c>
    </row>
    <row r="762" customHeight="1" spans="2:16">
      <c r="B762" s="24" t="s">
        <v>56</v>
      </c>
      <c r="C762" s="25" t="s">
        <v>57</v>
      </c>
      <c r="D762" s="26"/>
      <c r="E762" s="27">
        <v>-539</v>
      </c>
      <c r="G762" s="1" t="s">
        <v>935</v>
      </c>
      <c r="H762" s="1" t="s">
        <v>137</v>
      </c>
      <c r="J762" s="2">
        <v>103812.63</v>
      </c>
      <c r="L762" s="12" t="s">
        <v>940</v>
      </c>
      <c r="M762" s="9" t="s">
        <v>941</v>
      </c>
      <c r="N762" s="21"/>
      <c r="O762" s="22">
        <v>-1356.65</v>
      </c>
      <c r="P762" s="23">
        <f>Table2[[#This Row],[Sum of Old TB]]-Table2[[#This Row],[Sum of New TB]]</f>
        <v>1356.65</v>
      </c>
    </row>
    <row r="763" customHeight="1" spans="2:16">
      <c r="B763" s="24" t="s">
        <v>58</v>
      </c>
      <c r="C763" s="25" t="s">
        <v>59</v>
      </c>
      <c r="D763" s="26"/>
      <c r="E763" s="27">
        <v>-4622.65</v>
      </c>
      <c r="G763" s="1" t="s">
        <v>936</v>
      </c>
      <c r="H763" s="1" t="s">
        <v>937</v>
      </c>
      <c r="J763" s="2">
        <v>-8485.25</v>
      </c>
      <c r="L763" s="12" t="s">
        <v>942</v>
      </c>
      <c r="M763" s="9" t="s">
        <v>943</v>
      </c>
      <c r="N763" s="21"/>
      <c r="O763" s="22">
        <v>-83109.33</v>
      </c>
      <c r="P763" s="23">
        <f>Table2[[#This Row],[Sum of Old TB]]-Table2[[#This Row],[Sum of New TB]]</f>
        <v>83109.33</v>
      </c>
    </row>
    <row r="764" customHeight="1" spans="2:16">
      <c r="B764" s="24" t="s">
        <v>60</v>
      </c>
      <c r="C764" s="25" t="s">
        <v>61</v>
      </c>
      <c r="D764" s="26"/>
      <c r="E764" s="27">
        <v>-49163.35</v>
      </c>
      <c r="G764" s="1" t="s">
        <v>938</v>
      </c>
      <c r="H764" s="1" t="s">
        <v>939</v>
      </c>
      <c r="J764" s="2">
        <v>-25966</v>
      </c>
      <c r="L764" s="12" t="s">
        <v>913</v>
      </c>
      <c r="M764" s="9" t="s">
        <v>63</v>
      </c>
      <c r="N764" s="21">
        <v>-469751.43</v>
      </c>
      <c r="O764" s="22">
        <v>-469751.43</v>
      </c>
      <c r="P764" s="23">
        <f>Table2[[#This Row],[Sum of Old TB]]-Table2[[#This Row],[Sum of New TB]]</f>
        <v>0</v>
      </c>
    </row>
    <row r="765" customHeight="1" spans="2:16">
      <c r="B765" s="24" t="s">
        <v>62</v>
      </c>
      <c r="C765" s="25" t="s">
        <v>63</v>
      </c>
      <c r="D765" s="26"/>
      <c r="E765" s="27">
        <v>499935.85</v>
      </c>
      <c r="G765" s="1" t="s">
        <v>940</v>
      </c>
      <c r="H765" s="1" t="s">
        <v>941</v>
      </c>
      <c r="J765" s="2">
        <v>-1356.65</v>
      </c>
      <c r="L765" s="12" t="s">
        <v>914</v>
      </c>
      <c r="M765" s="9" t="s">
        <v>915</v>
      </c>
      <c r="N765" s="21">
        <v>-11106475.32</v>
      </c>
      <c r="O765" s="22">
        <v>-11229576.42</v>
      </c>
      <c r="P765" s="23">
        <f>Table2[[#This Row],[Sum of Old TB]]-Table2[[#This Row],[Sum of New TB]]</f>
        <v>123101.1</v>
      </c>
    </row>
    <row r="766" customHeight="1" spans="2:16">
      <c r="B766" s="24" t="s">
        <v>64</v>
      </c>
      <c r="C766" s="25" t="s">
        <v>65</v>
      </c>
      <c r="D766" s="26"/>
      <c r="E766" s="27">
        <v>657354.77</v>
      </c>
      <c r="G766" s="1" t="s">
        <v>942</v>
      </c>
      <c r="H766" s="1" t="s">
        <v>943</v>
      </c>
      <c r="J766" s="2">
        <v>-83109.33</v>
      </c>
      <c r="L766" s="12" t="s">
        <v>944</v>
      </c>
      <c r="M766" s="9" t="s">
        <v>115</v>
      </c>
      <c r="N766" s="21"/>
      <c r="O766" s="22">
        <v>103812.63</v>
      </c>
      <c r="P766" s="23">
        <f>Table2[[#This Row],[Sum of Old TB]]-Table2[[#This Row],[Sum of New TB]]</f>
        <v>-103812.63</v>
      </c>
    </row>
    <row r="767" customHeight="1" spans="2:16">
      <c r="B767" s="24" t="s">
        <v>66</v>
      </c>
      <c r="C767" s="25" t="s">
        <v>67</v>
      </c>
      <c r="D767" s="26"/>
      <c r="E767" s="27">
        <v>-657354.77</v>
      </c>
      <c r="G767" s="1" t="s">
        <v>913</v>
      </c>
      <c r="H767" s="1" t="s">
        <v>63</v>
      </c>
      <c r="I767" s="2">
        <v>-469751.43</v>
      </c>
      <c r="J767" s="2">
        <v>-469751.43</v>
      </c>
      <c r="L767" s="12" t="s">
        <v>945</v>
      </c>
      <c r="M767" s="9" t="s">
        <v>173</v>
      </c>
      <c r="N767" s="21"/>
      <c r="O767" s="22">
        <v>-77299.87</v>
      </c>
      <c r="P767" s="23">
        <f>Table2[[#This Row],[Sum of Old TB]]-Table2[[#This Row],[Sum of New TB]]</f>
        <v>77299.87</v>
      </c>
    </row>
    <row r="768" customHeight="1" spans="2:16">
      <c r="B768" s="24" t="s">
        <v>68</v>
      </c>
      <c r="C768" s="25" t="s">
        <v>69</v>
      </c>
      <c r="D768" s="26"/>
      <c r="E768" s="27">
        <v>-950261</v>
      </c>
      <c r="G768" s="1" t="s">
        <v>914</v>
      </c>
      <c r="H768" s="1" t="s">
        <v>915</v>
      </c>
      <c r="I768" s="2">
        <v>-11106475.32</v>
      </c>
      <c r="J768" s="2">
        <v>-11229576.42</v>
      </c>
      <c r="L768" s="12" t="s">
        <v>946</v>
      </c>
      <c r="M768" s="9" t="s">
        <v>947</v>
      </c>
      <c r="N768" s="21"/>
      <c r="O768" s="22">
        <v>-2496103.81</v>
      </c>
      <c r="P768" s="23">
        <f>Table2[[#This Row],[Sum of Old TB]]-Table2[[#This Row],[Sum of New TB]]</f>
        <v>2496103.81</v>
      </c>
    </row>
    <row r="769" customHeight="1" spans="2:16">
      <c r="B769" s="24" t="s">
        <v>70</v>
      </c>
      <c r="C769" s="25" t="s">
        <v>71</v>
      </c>
      <c r="D769" s="26"/>
      <c r="E769" s="27">
        <v>-131559</v>
      </c>
      <c r="G769" s="1" t="s">
        <v>944</v>
      </c>
      <c r="H769" s="1" t="s">
        <v>115</v>
      </c>
      <c r="J769" s="2">
        <v>103812.63</v>
      </c>
      <c r="L769" s="12" t="s">
        <v>948</v>
      </c>
      <c r="M769" s="9" t="s">
        <v>949</v>
      </c>
      <c r="N769" s="21"/>
      <c r="O769" s="22">
        <v>349042.91</v>
      </c>
      <c r="P769" s="23">
        <f>Table2[[#This Row],[Sum of Old TB]]-Table2[[#This Row],[Sum of New TB]]</f>
        <v>-349042.91</v>
      </c>
    </row>
    <row r="770" customHeight="1" spans="2:16">
      <c r="B770" s="24" t="s">
        <v>72</v>
      </c>
      <c r="C770" s="25" t="s">
        <v>73</v>
      </c>
      <c r="D770" s="26"/>
      <c r="E770" s="27">
        <v>-6874.01</v>
      </c>
      <c r="G770" s="1" t="s">
        <v>945</v>
      </c>
      <c r="H770" s="1" t="s">
        <v>173</v>
      </c>
      <c r="J770" s="2">
        <v>-77299.87</v>
      </c>
      <c r="L770" s="12" t="s">
        <v>916</v>
      </c>
      <c r="M770" s="9" t="s">
        <v>40</v>
      </c>
      <c r="N770" s="21">
        <v>-1280386.19</v>
      </c>
      <c r="O770" s="22"/>
      <c r="P770" s="23">
        <f>Table2[[#This Row],[Sum of Old TB]]-Table2[[#This Row],[Sum of New TB]]</f>
        <v>-1280386.19</v>
      </c>
    </row>
    <row r="771" customHeight="1" spans="2:16">
      <c r="B771" s="24" t="s">
        <v>74</v>
      </c>
      <c r="C771" s="25" t="s">
        <v>75</v>
      </c>
      <c r="D771" s="26"/>
      <c r="E771" s="27">
        <v>-31529.2</v>
      </c>
      <c r="G771" s="1" t="s">
        <v>946</v>
      </c>
      <c r="H771" s="1" t="s">
        <v>947</v>
      </c>
      <c r="J771" s="2">
        <v>-2496103.81</v>
      </c>
      <c r="L771" s="12" t="s">
        <v>917</v>
      </c>
      <c r="M771" s="9" t="s">
        <v>918</v>
      </c>
      <c r="N771" s="21">
        <v>-62710.26</v>
      </c>
      <c r="O771" s="22">
        <v>-62710.26</v>
      </c>
      <c r="P771" s="23">
        <f>Table2[[#This Row],[Sum of Old TB]]-Table2[[#This Row],[Sum of New TB]]</f>
        <v>0</v>
      </c>
    </row>
    <row r="772" customHeight="1" spans="2:16">
      <c r="B772" s="24" t="s">
        <v>76</v>
      </c>
      <c r="C772" s="25" t="s">
        <v>77</v>
      </c>
      <c r="D772" s="26"/>
      <c r="E772" s="27">
        <v>-88787.77</v>
      </c>
      <c r="G772" s="1" t="s">
        <v>948</v>
      </c>
      <c r="H772" s="1" t="s">
        <v>949</v>
      </c>
      <c r="J772" s="2">
        <v>349042.91</v>
      </c>
      <c r="L772" s="12" t="s">
        <v>919</v>
      </c>
      <c r="M772" s="9" t="s">
        <v>920</v>
      </c>
      <c r="N772" s="21">
        <v>-585033.73</v>
      </c>
      <c r="O772" s="22">
        <v>-622879.84</v>
      </c>
      <c r="P772" s="23">
        <f>Table2[[#This Row],[Sum of Old TB]]-Table2[[#This Row],[Sum of New TB]]</f>
        <v>37846.11</v>
      </c>
    </row>
    <row r="773" customHeight="1" spans="2:16">
      <c r="B773" s="24" t="s">
        <v>82</v>
      </c>
      <c r="C773" s="25" t="s">
        <v>83</v>
      </c>
      <c r="D773" s="26"/>
      <c r="E773" s="27">
        <v>-2271.35</v>
      </c>
      <c r="G773" s="1" t="s">
        <v>916</v>
      </c>
      <c r="H773" s="1" t="s">
        <v>40</v>
      </c>
      <c r="I773" s="2">
        <v>-1280386.19</v>
      </c>
      <c r="L773" s="12" t="s">
        <v>921</v>
      </c>
      <c r="M773" s="9" t="s">
        <v>922</v>
      </c>
      <c r="N773" s="21">
        <v>-1763664.54</v>
      </c>
      <c r="O773" s="22">
        <v>-960255.25</v>
      </c>
      <c r="P773" s="23">
        <f>Table2[[#This Row],[Sum of Old TB]]-Table2[[#This Row],[Sum of New TB]]</f>
        <v>-803409.29</v>
      </c>
    </row>
    <row r="774" customHeight="1" spans="2:16">
      <c r="B774" s="24" t="s">
        <v>86</v>
      </c>
      <c r="C774" s="25" t="s">
        <v>87</v>
      </c>
      <c r="D774" s="26"/>
      <c r="E774" s="27">
        <v>-1448.51</v>
      </c>
      <c r="G774" s="1" t="s">
        <v>917</v>
      </c>
      <c r="H774" s="1" t="s">
        <v>918</v>
      </c>
      <c r="I774" s="2">
        <v>-62710.26</v>
      </c>
      <c r="J774" s="2">
        <v>-62710.26</v>
      </c>
      <c r="L774" s="12" t="s">
        <v>923</v>
      </c>
      <c r="M774" s="9" t="s">
        <v>924</v>
      </c>
      <c r="N774" s="21">
        <v>-83465.47</v>
      </c>
      <c r="O774" s="22"/>
      <c r="P774" s="23">
        <f>Table2[[#This Row],[Sum of Old TB]]-Table2[[#This Row],[Sum of New TB]]</f>
        <v>-83465.47</v>
      </c>
    </row>
    <row r="775" customHeight="1" spans="2:16">
      <c r="B775" s="24" t="s">
        <v>78</v>
      </c>
      <c r="C775" s="25" t="s">
        <v>79</v>
      </c>
      <c r="D775" s="26"/>
      <c r="E775" s="27">
        <v>-28786</v>
      </c>
      <c r="G775" s="1" t="s">
        <v>919</v>
      </c>
      <c r="H775" s="1" t="s">
        <v>920</v>
      </c>
      <c r="I775" s="2">
        <v>-585033.73</v>
      </c>
      <c r="J775" s="2">
        <v>-622879.84</v>
      </c>
      <c r="L775" s="12" t="s">
        <v>925</v>
      </c>
      <c r="M775" s="9" t="s">
        <v>926</v>
      </c>
      <c r="N775" s="21">
        <v>-49431.46</v>
      </c>
      <c r="O775" s="22">
        <v>-25722.19</v>
      </c>
      <c r="P775" s="23">
        <f>Table2[[#This Row],[Sum of Old TB]]-Table2[[#This Row],[Sum of New TB]]</f>
        <v>-23709.27</v>
      </c>
    </row>
    <row r="776" customHeight="1" spans="2:16">
      <c r="B776" s="24" t="s">
        <v>80</v>
      </c>
      <c r="C776" s="25" t="s">
        <v>81</v>
      </c>
      <c r="D776" s="26"/>
      <c r="E776" s="27">
        <v>-2525.75</v>
      </c>
      <c r="G776" s="1" t="s">
        <v>921</v>
      </c>
      <c r="H776" s="1" t="s">
        <v>922</v>
      </c>
      <c r="I776" s="2">
        <v>-1763664.54</v>
      </c>
      <c r="J776" s="2">
        <v>-960255.25</v>
      </c>
      <c r="L776" s="12" t="s">
        <v>927</v>
      </c>
      <c r="M776" s="9" t="s">
        <v>928</v>
      </c>
      <c r="N776" s="21">
        <v>-7101312.03</v>
      </c>
      <c r="O776" s="22">
        <v>-7501312.03</v>
      </c>
      <c r="P776" s="23">
        <f>Table2[[#This Row],[Sum of Old TB]]-Table2[[#This Row],[Sum of New TB]]</f>
        <v>400000</v>
      </c>
    </row>
    <row r="777" customHeight="1" spans="2:16">
      <c r="B777" s="24" t="s">
        <v>84</v>
      </c>
      <c r="C777" s="25" t="s">
        <v>85</v>
      </c>
      <c r="D777" s="26"/>
      <c r="E777" s="27">
        <v>-1391.75</v>
      </c>
      <c r="G777" s="1" t="s">
        <v>923</v>
      </c>
      <c r="H777" s="1" t="s">
        <v>924</v>
      </c>
      <c r="I777" s="2">
        <v>-83465.47</v>
      </c>
      <c r="L777" s="12" t="s">
        <v>929</v>
      </c>
      <c r="M777" s="9" t="s">
        <v>930</v>
      </c>
      <c r="N777" s="21">
        <v>-929258.24</v>
      </c>
      <c r="O777" s="22"/>
      <c r="P777" s="23">
        <f>Table2[[#This Row],[Sum of Old TB]]-Table2[[#This Row],[Sum of New TB]]</f>
        <v>-929258.24</v>
      </c>
    </row>
    <row r="778" customHeight="1" spans="2:16">
      <c r="B778" s="24" t="s">
        <v>88</v>
      </c>
      <c r="C778" s="25" t="s">
        <v>89</v>
      </c>
      <c r="D778" s="26"/>
      <c r="E778" s="27">
        <v>-16800</v>
      </c>
      <c r="G778" s="1" t="s">
        <v>925</v>
      </c>
      <c r="H778" s="1" t="s">
        <v>926</v>
      </c>
      <c r="I778" s="2">
        <v>-49431.46</v>
      </c>
      <c r="J778" s="2">
        <v>-25722.19</v>
      </c>
      <c r="L778" s="12" t="s">
        <v>931</v>
      </c>
      <c r="M778" s="9" t="s">
        <v>63</v>
      </c>
      <c r="N778" s="21">
        <v>7484182.53</v>
      </c>
      <c r="O778" s="22">
        <v>7484182.53</v>
      </c>
      <c r="P778" s="23">
        <f>Table2[[#This Row],[Sum of Old TB]]-Table2[[#This Row],[Sum of New TB]]</f>
        <v>0</v>
      </c>
    </row>
    <row r="779" customHeight="1" spans="2:16">
      <c r="B779" s="24" t="s">
        <v>90</v>
      </c>
      <c r="C779" s="25" t="s">
        <v>91</v>
      </c>
      <c r="D779" s="26"/>
      <c r="E779" s="27">
        <v>-190069.49</v>
      </c>
      <c r="G779" s="1" t="s">
        <v>927</v>
      </c>
      <c r="H779" s="1" t="s">
        <v>928</v>
      </c>
      <c r="I779" s="2">
        <v>-7101312.03</v>
      </c>
      <c r="J779" s="2">
        <v>-7501312.03</v>
      </c>
      <c r="L779" s="12" t="s">
        <v>932</v>
      </c>
      <c r="M779" s="9" t="s">
        <v>915</v>
      </c>
      <c r="N779" s="21">
        <v>4371079.39</v>
      </c>
      <c r="O779" s="22">
        <v>4371079.39</v>
      </c>
      <c r="P779" s="23">
        <f>Table2[[#This Row],[Sum of Old TB]]-Table2[[#This Row],[Sum of New TB]]</f>
        <v>0</v>
      </c>
    </row>
    <row r="780" customHeight="1" spans="2:16">
      <c r="B780" s="24" t="s">
        <v>92</v>
      </c>
      <c r="C780" s="25" t="s">
        <v>93</v>
      </c>
      <c r="D780" s="26"/>
      <c r="E780" s="27">
        <v>-75360.24</v>
      </c>
      <c r="G780" s="1" t="s">
        <v>929</v>
      </c>
      <c r="H780" s="1" t="s">
        <v>930</v>
      </c>
      <c r="I780" s="2">
        <v>-929258.24</v>
      </c>
      <c r="L780" s="12" t="s">
        <v>950</v>
      </c>
      <c r="M780" s="9" t="s">
        <v>115</v>
      </c>
      <c r="N780" s="21"/>
      <c r="O780" s="22">
        <v>971375.35</v>
      </c>
      <c r="P780" s="23">
        <f>Table2[[#This Row],[Sum of Old TB]]-Table2[[#This Row],[Sum of New TB]]</f>
        <v>-971375.35</v>
      </c>
    </row>
    <row r="781" customHeight="1" spans="2:16">
      <c r="B781" s="24" t="s">
        <v>94</v>
      </c>
      <c r="C781" s="25" t="s">
        <v>95</v>
      </c>
      <c r="D781" s="26"/>
      <c r="E781" s="27">
        <v>-111612.59</v>
      </c>
      <c r="G781" s="1" t="s">
        <v>931</v>
      </c>
      <c r="H781" s="1" t="s">
        <v>63</v>
      </c>
      <c r="I781" s="2">
        <v>7484182.53</v>
      </c>
      <c r="J781" s="2">
        <v>7484182.53</v>
      </c>
      <c r="L781" s="12" t="s">
        <v>951</v>
      </c>
      <c r="M781" s="9" t="s">
        <v>107</v>
      </c>
      <c r="N781" s="21"/>
      <c r="O781" s="22">
        <v>-53991</v>
      </c>
      <c r="P781" s="23">
        <f>Table2[[#This Row],[Sum of Old TB]]-Table2[[#This Row],[Sum of New TB]]</f>
        <v>53991</v>
      </c>
    </row>
    <row r="782" customHeight="1" spans="2:16">
      <c r="B782" s="24" t="s">
        <v>96</v>
      </c>
      <c r="C782" s="25" t="s">
        <v>97</v>
      </c>
      <c r="D782" s="26"/>
      <c r="E782" s="27">
        <v>-3688</v>
      </c>
      <c r="G782" s="1" t="s">
        <v>932</v>
      </c>
      <c r="H782" s="1" t="s">
        <v>915</v>
      </c>
      <c r="I782" s="2">
        <v>4371079.39</v>
      </c>
      <c r="J782" s="2">
        <v>4371079.39</v>
      </c>
      <c r="L782" s="12" t="s">
        <v>952</v>
      </c>
      <c r="M782" s="9" t="s">
        <v>173</v>
      </c>
      <c r="N782" s="21"/>
      <c r="O782" s="22">
        <v>-3599766.7</v>
      </c>
      <c r="P782" s="23">
        <f>Table2[[#This Row],[Sum of Old TB]]-Table2[[#This Row],[Sum of New TB]]</f>
        <v>3599766.7</v>
      </c>
    </row>
    <row r="783" customHeight="1" spans="2:16">
      <c r="B783" s="24" t="s">
        <v>98</v>
      </c>
      <c r="C783" s="25" t="s">
        <v>99</v>
      </c>
      <c r="D783" s="26"/>
      <c r="E783" s="27">
        <v>-970</v>
      </c>
      <c r="G783" s="1" t="s">
        <v>950</v>
      </c>
      <c r="H783" s="1" t="s">
        <v>115</v>
      </c>
      <c r="J783" s="2">
        <v>971375.35</v>
      </c>
      <c r="L783" s="29" t="s">
        <v>953</v>
      </c>
      <c r="M783" s="30"/>
      <c r="N783" s="31">
        <v>0</v>
      </c>
      <c r="O783" s="32">
        <v>-4.65661287307739e-10</v>
      </c>
      <c r="P783" s="33">
        <f>Table2[[#This Row],[Sum of Old TB]]-Table2[[#This Row],[Sum of New TB]]</f>
        <v>4.65661287307739e-10</v>
      </c>
    </row>
    <row r="784" customHeight="1" spans="2:10">
      <c r="B784" s="24" t="s">
        <v>100</v>
      </c>
      <c r="C784" s="25" t="s">
        <v>101</v>
      </c>
      <c r="D784" s="26"/>
      <c r="E784" s="27">
        <v>-1100000</v>
      </c>
      <c r="G784" s="1" t="s">
        <v>951</v>
      </c>
      <c r="H784" s="1" t="s">
        <v>107</v>
      </c>
      <c r="J784" s="2">
        <v>-53991</v>
      </c>
    </row>
    <row r="785" customHeight="1" spans="2:10">
      <c r="B785" s="24" t="s">
        <v>102</v>
      </c>
      <c r="C785" s="25" t="s">
        <v>103</v>
      </c>
      <c r="D785" s="26"/>
      <c r="E785" s="27">
        <v>-800000</v>
      </c>
      <c r="G785" s="1" t="s">
        <v>952</v>
      </c>
      <c r="H785" s="1" t="s">
        <v>173</v>
      </c>
      <c r="J785" s="2">
        <v>-3599766.7</v>
      </c>
    </row>
    <row r="786" customHeight="1" spans="2:10">
      <c r="B786" s="24" t="s">
        <v>114</v>
      </c>
      <c r="C786" s="25" t="s">
        <v>115</v>
      </c>
      <c r="D786" s="26"/>
      <c r="E786" s="27">
        <v>-1027222.69</v>
      </c>
      <c r="G786" s="1" t="s">
        <v>953</v>
      </c>
      <c r="I786" s="2">
        <v>0</v>
      </c>
      <c r="J786" s="2">
        <v>-4.65661287307739e-10</v>
      </c>
    </row>
    <row r="787" customHeight="1" spans="2:5">
      <c r="B787" s="24" t="s">
        <v>118</v>
      </c>
      <c r="C787" s="25" t="s">
        <v>119</v>
      </c>
      <c r="D787" s="26"/>
      <c r="E787" s="27">
        <v>-250000</v>
      </c>
    </row>
    <row r="788" customHeight="1" spans="2:5">
      <c r="B788" s="24" t="s">
        <v>106</v>
      </c>
      <c r="C788" s="25" t="s">
        <v>107</v>
      </c>
      <c r="D788" s="26"/>
      <c r="E788" s="27">
        <v>388178.94</v>
      </c>
    </row>
    <row r="789" customHeight="1" spans="2:5">
      <c r="B789" s="24" t="s">
        <v>108</v>
      </c>
      <c r="C789" s="25" t="s">
        <v>109</v>
      </c>
      <c r="D789" s="26"/>
      <c r="E789" s="27">
        <v>27834.02</v>
      </c>
    </row>
    <row r="790" customHeight="1" spans="2:5">
      <c r="B790" s="24" t="s">
        <v>110</v>
      </c>
      <c r="C790" s="25" t="s">
        <v>111</v>
      </c>
      <c r="D790" s="26"/>
      <c r="E790" s="27">
        <v>95997.9</v>
      </c>
    </row>
    <row r="791" customHeight="1" spans="2:5">
      <c r="B791" s="24" t="s">
        <v>112</v>
      </c>
      <c r="C791" s="25" t="s">
        <v>113</v>
      </c>
      <c r="D791" s="26"/>
      <c r="E791" s="27">
        <v>10950</v>
      </c>
    </row>
    <row r="792" customHeight="1" spans="2:5">
      <c r="B792" s="24" t="s">
        <v>116</v>
      </c>
      <c r="C792" s="25" t="s">
        <v>117</v>
      </c>
      <c r="D792" s="26"/>
      <c r="E792" s="27">
        <v>180542.98</v>
      </c>
    </row>
    <row r="793" customHeight="1" spans="2:5">
      <c r="B793" s="24" t="s">
        <v>120</v>
      </c>
      <c r="C793" s="25" t="s">
        <v>121</v>
      </c>
      <c r="D793" s="26"/>
      <c r="E793" s="27">
        <v>13672.96</v>
      </c>
    </row>
    <row r="794" customHeight="1" spans="2:5">
      <c r="B794" s="24" t="s">
        <v>122</v>
      </c>
      <c r="C794" s="25" t="s">
        <v>123</v>
      </c>
      <c r="D794" s="26"/>
      <c r="E794" s="27">
        <v>15526</v>
      </c>
    </row>
    <row r="795" customHeight="1" spans="2:5">
      <c r="B795" s="24" t="s">
        <v>124</v>
      </c>
      <c r="C795" s="25" t="s">
        <v>125</v>
      </c>
      <c r="D795" s="26"/>
      <c r="E795" s="27">
        <v>131.61</v>
      </c>
    </row>
    <row r="796" customHeight="1" spans="2:5">
      <c r="B796" s="24" t="s">
        <v>126</v>
      </c>
      <c r="C796" s="25" t="s">
        <v>127</v>
      </c>
      <c r="D796" s="26"/>
      <c r="E796" s="27">
        <v>23612.14</v>
      </c>
    </row>
    <row r="797" customHeight="1" spans="2:5">
      <c r="B797" s="24" t="s">
        <v>128</v>
      </c>
      <c r="C797" s="25" t="s">
        <v>129</v>
      </c>
      <c r="D797" s="26"/>
      <c r="E797" s="28">
        <v>52823.06</v>
      </c>
    </row>
    <row r="798" customHeight="1" spans="2:5">
      <c r="B798" s="24" t="s">
        <v>130</v>
      </c>
      <c r="C798" s="25" t="s">
        <v>131</v>
      </c>
      <c r="D798" s="26"/>
      <c r="E798" s="27">
        <v>26658.12</v>
      </c>
    </row>
    <row r="799" customHeight="1" spans="2:5">
      <c r="B799" s="24" t="s">
        <v>132</v>
      </c>
      <c r="C799" s="25" t="s">
        <v>133</v>
      </c>
      <c r="D799" s="26"/>
      <c r="E799" s="27">
        <v>17875.57</v>
      </c>
    </row>
    <row r="800" customHeight="1" spans="2:5">
      <c r="B800" s="24" t="s">
        <v>134</v>
      </c>
      <c r="C800" s="25" t="s">
        <v>135</v>
      </c>
      <c r="D800" s="26"/>
      <c r="E800" s="27">
        <v>40.09</v>
      </c>
    </row>
    <row r="801" customHeight="1" spans="2:5">
      <c r="B801" s="24" t="s">
        <v>136</v>
      </c>
      <c r="C801" s="25" t="s">
        <v>137</v>
      </c>
      <c r="D801" s="26"/>
      <c r="E801" s="27">
        <v>8152.69</v>
      </c>
    </row>
    <row r="802" customHeight="1" spans="2:5">
      <c r="B802" s="24" t="s">
        <v>138</v>
      </c>
      <c r="C802" s="25" t="s">
        <v>139</v>
      </c>
      <c r="D802" s="26"/>
      <c r="E802" s="27">
        <v>64.99</v>
      </c>
    </row>
    <row r="803" customHeight="1" spans="2:5">
      <c r="B803" s="24" t="s">
        <v>140</v>
      </c>
      <c r="C803" s="25" t="s">
        <v>141</v>
      </c>
      <c r="D803" s="26"/>
      <c r="E803" s="27">
        <v>351.53</v>
      </c>
    </row>
    <row r="804" customHeight="1" spans="2:5">
      <c r="B804" s="24" t="s">
        <v>142</v>
      </c>
      <c r="C804" s="25" t="s">
        <v>143</v>
      </c>
      <c r="D804" s="26"/>
      <c r="E804" s="27">
        <v>13616.17</v>
      </c>
    </row>
    <row r="805" customHeight="1" spans="2:5">
      <c r="B805" s="24" t="s">
        <v>144</v>
      </c>
      <c r="C805" s="25" t="s">
        <v>145</v>
      </c>
      <c r="D805" s="26"/>
      <c r="E805" s="27">
        <v>237</v>
      </c>
    </row>
    <row r="806" customHeight="1" spans="2:5">
      <c r="B806" s="24" t="s">
        <v>146</v>
      </c>
      <c r="C806" s="25" t="s">
        <v>147</v>
      </c>
      <c r="D806" s="26"/>
      <c r="E806" s="27">
        <v>26770.35</v>
      </c>
    </row>
    <row r="807" customHeight="1" spans="2:5">
      <c r="B807" s="24" t="s">
        <v>148</v>
      </c>
      <c r="C807" s="25" t="s">
        <v>149</v>
      </c>
      <c r="D807" s="26"/>
      <c r="E807" s="27">
        <v>1151.84</v>
      </c>
    </row>
    <row r="808" customHeight="1" spans="2:5">
      <c r="B808" s="24" t="s">
        <v>150</v>
      </c>
      <c r="C808" s="25" t="s">
        <v>151</v>
      </c>
      <c r="D808" s="26"/>
      <c r="E808" s="27">
        <v>75.55</v>
      </c>
    </row>
    <row r="809" customHeight="1" spans="2:5">
      <c r="B809" s="24" t="s">
        <v>152</v>
      </c>
      <c r="C809" s="25" t="s">
        <v>153</v>
      </c>
      <c r="D809" s="26"/>
      <c r="E809" s="27">
        <v>9777.82</v>
      </c>
    </row>
    <row r="810" customHeight="1" spans="2:5">
      <c r="B810" s="24" t="s">
        <v>154</v>
      </c>
      <c r="C810" s="25" t="s">
        <v>155</v>
      </c>
      <c r="D810" s="26"/>
      <c r="E810" s="27">
        <v>209331.48</v>
      </c>
    </row>
    <row r="811" customHeight="1" spans="2:5">
      <c r="B811" s="24" t="s">
        <v>156</v>
      </c>
      <c r="C811" s="25" t="s">
        <v>157</v>
      </c>
      <c r="D811" s="26"/>
      <c r="E811" s="27">
        <v>179</v>
      </c>
    </row>
    <row r="812" customHeight="1" spans="2:5">
      <c r="B812" s="24" t="s">
        <v>158</v>
      </c>
      <c r="C812" s="25" t="s">
        <v>159</v>
      </c>
      <c r="D812" s="26"/>
      <c r="E812" s="27">
        <v>259414.35</v>
      </c>
    </row>
    <row r="813" customHeight="1" spans="2:5">
      <c r="B813" s="24" t="s">
        <v>172</v>
      </c>
      <c r="C813" s="25" t="s">
        <v>173</v>
      </c>
      <c r="D813" s="26"/>
      <c r="E813" s="27">
        <v>1676048.59</v>
      </c>
    </row>
    <row r="814" customHeight="1" spans="2:5">
      <c r="B814" s="24" t="s">
        <v>160</v>
      </c>
      <c r="C814" s="25" t="s">
        <v>161</v>
      </c>
      <c r="D814" s="26"/>
      <c r="E814" s="27">
        <v>159358.45</v>
      </c>
    </row>
    <row r="815" customHeight="1" spans="2:5">
      <c r="B815" s="24" t="s">
        <v>162</v>
      </c>
      <c r="C815" s="25" t="s">
        <v>163</v>
      </c>
      <c r="D815" s="26"/>
      <c r="E815" s="27">
        <v>1560</v>
      </c>
    </row>
    <row r="816" customHeight="1" spans="2:5">
      <c r="B816" s="24" t="s">
        <v>164</v>
      </c>
      <c r="C816" s="25" t="s">
        <v>165</v>
      </c>
      <c r="D816" s="26"/>
      <c r="E816" s="27">
        <v>8413.93</v>
      </c>
    </row>
    <row r="817" customHeight="1" spans="2:5">
      <c r="B817" s="24" t="s">
        <v>166</v>
      </c>
      <c r="C817" s="25" t="s">
        <v>167</v>
      </c>
      <c r="D817" s="26"/>
      <c r="E817" s="27">
        <v>3678.62</v>
      </c>
    </row>
    <row r="818" customHeight="1" spans="2:5">
      <c r="B818" s="24" t="s">
        <v>168</v>
      </c>
      <c r="C818" s="25" t="s">
        <v>169</v>
      </c>
      <c r="D818" s="26"/>
      <c r="E818" s="27">
        <v>600</v>
      </c>
    </row>
    <row r="819" customHeight="1" spans="2:5">
      <c r="B819" s="24" t="s">
        <v>170</v>
      </c>
      <c r="C819" s="25" t="s">
        <v>171</v>
      </c>
      <c r="D819" s="26"/>
      <c r="E819" s="27">
        <v>1229.8</v>
      </c>
    </row>
    <row r="820" customHeight="1" spans="2:5">
      <c r="B820" s="24" t="s">
        <v>174</v>
      </c>
      <c r="C820" s="25" t="s">
        <v>175</v>
      </c>
      <c r="D820" s="26"/>
      <c r="E820" s="27">
        <v>78677.23</v>
      </c>
    </row>
    <row r="821" customHeight="1" spans="2:5">
      <c r="B821" s="24" t="s">
        <v>176</v>
      </c>
      <c r="C821" s="25" t="s">
        <v>177</v>
      </c>
      <c r="D821" s="26"/>
      <c r="E821" s="27">
        <v>175</v>
      </c>
    </row>
    <row r="822" customHeight="1" spans="2:5">
      <c r="B822" s="24" t="s">
        <v>178</v>
      </c>
      <c r="C822" s="25" t="s">
        <v>179</v>
      </c>
      <c r="D822" s="26"/>
      <c r="E822" s="27">
        <v>35377.34</v>
      </c>
    </row>
    <row r="823" customHeight="1" spans="2:5">
      <c r="B823" s="24" t="s">
        <v>180</v>
      </c>
      <c r="C823" s="25" t="s">
        <v>181</v>
      </c>
      <c r="D823" s="26"/>
      <c r="E823" s="27">
        <v>1197.03</v>
      </c>
    </row>
    <row r="824" customHeight="1" spans="2:5">
      <c r="B824" s="24" t="s">
        <v>182</v>
      </c>
      <c r="C824" s="25" t="s">
        <v>183</v>
      </c>
      <c r="D824" s="26"/>
      <c r="E824" s="27">
        <v>14070.18</v>
      </c>
    </row>
    <row r="825" customHeight="1" spans="2:5">
      <c r="B825" s="24" t="s">
        <v>184</v>
      </c>
      <c r="C825" s="25" t="s">
        <v>185</v>
      </c>
      <c r="D825" s="26"/>
      <c r="E825" s="27">
        <v>17500.8</v>
      </c>
    </row>
    <row r="826" customHeight="1" spans="2:5">
      <c r="B826" s="24" t="s">
        <v>186</v>
      </c>
      <c r="C826" s="25" t="s">
        <v>187</v>
      </c>
      <c r="D826" s="26"/>
      <c r="E826" s="27">
        <v>18711.97</v>
      </c>
    </row>
    <row r="827" customHeight="1" spans="2:5">
      <c r="B827" s="24" t="s">
        <v>188</v>
      </c>
      <c r="C827" s="25" t="s">
        <v>189</v>
      </c>
      <c r="D827" s="26"/>
      <c r="E827" s="27">
        <v>12673.41</v>
      </c>
    </row>
    <row r="828" customHeight="1" spans="2:5">
      <c r="B828" s="24" t="s">
        <v>190</v>
      </c>
      <c r="C828" s="25" t="s">
        <v>191</v>
      </c>
      <c r="D828" s="26"/>
      <c r="E828" s="27">
        <v>8270.88</v>
      </c>
    </row>
    <row r="829" customHeight="1" spans="2:5">
      <c r="B829" s="24" t="s">
        <v>192</v>
      </c>
      <c r="C829" s="25" t="s">
        <v>193</v>
      </c>
      <c r="D829" s="26"/>
      <c r="E829" s="27">
        <v>11384.25</v>
      </c>
    </row>
    <row r="830" customHeight="1" spans="2:5">
      <c r="B830" s="24" t="s">
        <v>194</v>
      </c>
      <c r="C830" s="25" t="s">
        <v>195</v>
      </c>
      <c r="D830" s="26"/>
      <c r="E830" s="27">
        <v>6877.49</v>
      </c>
    </row>
    <row r="831" customHeight="1" spans="2:5">
      <c r="B831" s="24" t="s">
        <v>196</v>
      </c>
      <c r="C831" s="25" t="s">
        <v>197</v>
      </c>
      <c r="D831" s="26"/>
      <c r="E831" s="27">
        <v>50491.63</v>
      </c>
    </row>
    <row r="832" customHeight="1" spans="2:5">
      <c r="B832" s="24" t="s">
        <v>198</v>
      </c>
      <c r="C832" s="25" t="s">
        <v>105</v>
      </c>
      <c r="D832" s="26"/>
      <c r="E832" s="27">
        <v>1598.06</v>
      </c>
    </row>
    <row r="833" customHeight="1" spans="2:5">
      <c r="B833" s="24" t="s">
        <v>199</v>
      </c>
      <c r="C833" s="25" t="s">
        <v>200</v>
      </c>
      <c r="D833" s="26"/>
      <c r="E833" s="27">
        <v>12600</v>
      </c>
    </row>
    <row r="834" customHeight="1" spans="2:5">
      <c r="B834" s="24" t="s">
        <v>201</v>
      </c>
      <c r="C834" s="25" t="s">
        <v>202</v>
      </c>
      <c r="D834" s="26"/>
      <c r="E834" s="27">
        <v>17773.97</v>
      </c>
    </row>
    <row r="835" customHeight="1" spans="2:5">
      <c r="B835" s="24" t="s">
        <v>203</v>
      </c>
      <c r="C835" s="25" t="s">
        <v>204</v>
      </c>
      <c r="D835" s="26"/>
      <c r="E835" s="27">
        <v>6121.79</v>
      </c>
    </row>
    <row r="836" customHeight="1" spans="2:5">
      <c r="B836" s="24" t="s">
        <v>205</v>
      </c>
      <c r="C836" s="25" t="s">
        <v>206</v>
      </c>
      <c r="D836" s="26"/>
      <c r="E836" s="27">
        <v>54579.67</v>
      </c>
    </row>
    <row r="837" customHeight="1" spans="2:5">
      <c r="B837" s="24" t="s">
        <v>207</v>
      </c>
      <c r="C837" s="25" t="s">
        <v>208</v>
      </c>
      <c r="D837" s="26"/>
      <c r="E837" s="27">
        <v>200</v>
      </c>
    </row>
    <row r="838" customHeight="1" spans="2:5">
      <c r="B838" s="24" t="s">
        <v>209</v>
      </c>
      <c r="C838" s="25" t="s">
        <v>210</v>
      </c>
      <c r="D838" s="26"/>
      <c r="E838" s="27">
        <v>565576.1</v>
      </c>
    </row>
    <row r="839" customHeight="1" spans="2:5">
      <c r="B839" s="24" t="s">
        <v>211</v>
      </c>
      <c r="C839" s="25" t="s">
        <v>212</v>
      </c>
      <c r="D839" s="26"/>
      <c r="E839" s="27">
        <v>-633954.51</v>
      </c>
    </row>
    <row r="840" customHeight="1" spans="2:5">
      <c r="B840" s="24" t="s">
        <v>215</v>
      </c>
      <c r="C840" s="25" t="s">
        <v>216</v>
      </c>
      <c r="D840" s="26"/>
      <c r="E840" s="27">
        <v>344188.47</v>
      </c>
    </row>
    <row r="841" customHeight="1" spans="2:5">
      <c r="B841" s="24" t="s">
        <v>217</v>
      </c>
      <c r="C841" s="25" t="s">
        <v>218</v>
      </c>
      <c r="D841" s="26"/>
      <c r="E841" s="27">
        <v>50963.58</v>
      </c>
    </row>
    <row r="842" customHeight="1" spans="2:5">
      <c r="B842" s="24" t="s">
        <v>219</v>
      </c>
      <c r="C842" s="25" t="s">
        <v>220</v>
      </c>
      <c r="D842" s="26"/>
      <c r="E842" s="27">
        <v>626064.43</v>
      </c>
    </row>
    <row r="843" customHeight="1" spans="2:5">
      <c r="B843" s="24" t="s">
        <v>221</v>
      </c>
      <c r="C843" s="25" t="s">
        <v>222</v>
      </c>
      <c r="D843" s="26"/>
      <c r="E843" s="27">
        <v>460.4</v>
      </c>
    </row>
    <row r="844" customHeight="1" spans="2:5">
      <c r="B844" s="24" t="s">
        <v>223</v>
      </c>
      <c r="C844" s="25" t="s">
        <v>224</v>
      </c>
      <c r="D844" s="26"/>
      <c r="E844" s="27">
        <v>1557.89</v>
      </c>
    </row>
    <row r="845" customHeight="1" spans="2:5">
      <c r="B845" s="24" t="s">
        <v>233</v>
      </c>
      <c r="C845" s="25" t="s">
        <v>234</v>
      </c>
      <c r="D845" s="26"/>
      <c r="E845" s="28">
        <v>250000</v>
      </c>
    </row>
    <row r="846" customHeight="1" spans="2:5">
      <c r="B846" s="24" t="s">
        <v>225</v>
      </c>
      <c r="C846" s="25" t="s">
        <v>40</v>
      </c>
      <c r="D846" s="26"/>
      <c r="E846" s="27">
        <v>197530.38</v>
      </c>
    </row>
    <row r="847" customHeight="1" spans="2:5">
      <c r="B847" s="24" t="s">
        <v>226</v>
      </c>
      <c r="C847" s="25" t="s">
        <v>42</v>
      </c>
      <c r="D847" s="26"/>
      <c r="E847" s="27">
        <v>-9012.54</v>
      </c>
    </row>
    <row r="848" customHeight="1" spans="2:5">
      <c r="B848" s="24" t="s">
        <v>227</v>
      </c>
      <c r="C848" s="25" t="s">
        <v>228</v>
      </c>
      <c r="D848" s="26"/>
      <c r="E848" s="27">
        <v>-188517.84</v>
      </c>
    </row>
    <row r="849" customHeight="1" spans="2:5">
      <c r="B849" s="24" t="s">
        <v>229</v>
      </c>
      <c r="C849" s="25" t="s">
        <v>69</v>
      </c>
      <c r="D849" s="26"/>
      <c r="E849" s="27">
        <v>-605096.37</v>
      </c>
    </row>
    <row r="850" customHeight="1" spans="2:5">
      <c r="B850" s="24" t="s">
        <v>230</v>
      </c>
      <c r="C850" s="25" t="s">
        <v>107</v>
      </c>
      <c r="D850" s="26"/>
      <c r="E850" s="27">
        <v>196248.84</v>
      </c>
    </row>
    <row r="851" customHeight="1" spans="2:5">
      <c r="B851" s="24" t="s">
        <v>231</v>
      </c>
      <c r="C851" s="25" t="s">
        <v>109</v>
      </c>
      <c r="D851" s="26"/>
      <c r="E851" s="27">
        <v>17717.87</v>
      </c>
    </row>
    <row r="852" customHeight="1" spans="2:5">
      <c r="B852" s="24" t="s">
        <v>232</v>
      </c>
      <c r="C852" s="25" t="s">
        <v>111</v>
      </c>
      <c r="D852" s="26"/>
      <c r="E852" s="27">
        <v>90646.82</v>
      </c>
    </row>
    <row r="853" customHeight="1" spans="2:5">
      <c r="B853" s="24" t="s">
        <v>235</v>
      </c>
      <c r="C853" s="25" t="s">
        <v>113</v>
      </c>
      <c r="D853" s="26"/>
      <c r="E853" s="27">
        <v>4500</v>
      </c>
    </row>
    <row r="854" customHeight="1" spans="2:5">
      <c r="B854" s="24" t="s">
        <v>236</v>
      </c>
      <c r="C854" s="25" t="s">
        <v>117</v>
      </c>
      <c r="D854" s="26"/>
      <c r="E854" s="27">
        <v>40045.17</v>
      </c>
    </row>
    <row r="855" customHeight="1" spans="2:5">
      <c r="B855" s="24" t="s">
        <v>237</v>
      </c>
      <c r="C855" s="25" t="s">
        <v>121</v>
      </c>
      <c r="D855" s="26"/>
      <c r="E855" s="27">
        <v>517.5</v>
      </c>
    </row>
    <row r="856" customHeight="1" spans="2:5">
      <c r="B856" s="24" t="s">
        <v>238</v>
      </c>
      <c r="C856" s="25" t="s">
        <v>125</v>
      </c>
      <c r="D856" s="26"/>
      <c r="E856" s="27">
        <v>1070</v>
      </c>
    </row>
    <row r="857" customHeight="1" spans="2:5">
      <c r="B857" s="24" t="s">
        <v>239</v>
      </c>
      <c r="C857" s="25" t="s">
        <v>129</v>
      </c>
      <c r="D857" s="26"/>
      <c r="E857" s="27">
        <v>7560.9</v>
      </c>
    </row>
    <row r="858" customHeight="1" spans="2:5">
      <c r="B858" s="24" t="s">
        <v>240</v>
      </c>
      <c r="C858" s="25" t="s">
        <v>131</v>
      </c>
      <c r="D858" s="26"/>
      <c r="E858" s="27">
        <v>5696.16</v>
      </c>
    </row>
    <row r="859" customHeight="1" spans="2:5">
      <c r="B859" s="24" t="s">
        <v>241</v>
      </c>
      <c r="C859" s="25" t="s">
        <v>133</v>
      </c>
      <c r="D859" s="26"/>
      <c r="E859" s="27">
        <v>553.28</v>
      </c>
    </row>
    <row r="860" customHeight="1" spans="2:5">
      <c r="B860" s="24" t="s">
        <v>242</v>
      </c>
      <c r="C860" s="25" t="s">
        <v>143</v>
      </c>
      <c r="D860" s="26"/>
      <c r="E860" s="27">
        <v>4946.39</v>
      </c>
    </row>
    <row r="861" customHeight="1" spans="2:5">
      <c r="B861" s="24" t="s">
        <v>243</v>
      </c>
      <c r="C861" s="25" t="s">
        <v>145</v>
      </c>
      <c r="D861" s="26"/>
      <c r="E861" s="27">
        <v>606</v>
      </c>
    </row>
    <row r="862" customHeight="1" spans="2:5">
      <c r="B862" s="24" t="s">
        <v>244</v>
      </c>
      <c r="C862" s="25" t="s">
        <v>147</v>
      </c>
      <c r="D862" s="26"/>
      <c r="E862" s="27">
        <v>10798.01</v>
      </c>
    </row>
    <row r="863" customHeight="1" spans="2:5">
      <c r="B863" s="24" t="s">
        <v>245</v>
      </c>
      <c r="C863" s="25" t="s">
        <v>149</v>
      </c>
      <c r="D863" s="26"/>
      <c r="E863" s="27">
        <v>5212.84</v>
      </c>
    </row>
    <row r="864" customHeight="1" spans="2:5">
      <c r="B864" s="24" t="s">
        <v>246</v>
      </c>
      <c r="C864" s="25" t="s">
        <v>151</v>
      </c>
      <c r="D864" s="26"/>
      <c r="E864" s="27">
        <v>1025.89</v>
      </c>
    </row>
    <row r="865" customHeight="1" spans="2:5">
      <c r="B865" s="24" t="s">
        <v>247</v>
      </c>
      <c r="C865" s="25" t="s">
        <v>153</v>
      </c>
      <c r="D865" s="26"/>
      <c r="E865" s="27">
        <v>2581.57</v>
      </c>
    </row>
    <row r="866" customHeight="1" spans="2:5">
      <c r="B866" s="24" t="s">
        <v>248</v>
      </c>
      <c r="C866" s="25" t="s">
        <v>249</v>
      </c>
      <c r="D866" s="26"/>
      <c r="E866" s="27">
        <v>4210.47</v>
      </c>
    </row>
    <row r="867" customHeight="1" spans="2:5">
      <c r="B867" s="24" t="s">
        <v>250</v>
      </c>
      <c r="C867" s="25" t="s">
        <v>161</v>
      </c>
      <c r="D867" s="26"/>
      <c r="E867" s="27">
        <v>8062.28</v>
      </c>
    </row>
    <row r="868" customHeight="1" spans="2:5">
      <c r="B868" s="24" t="s">
        <v>251</v>
      </c>
      <c r="C868" s="25" t="s">
        <v>252</v>
      </c>
      <c r="D868" s="26"/>
      <c r="E868" s="27">
        <v>747.5</v>
      </c>
    </row>
    <row r="869" customHeight="1" spans="2:5">
      <c r="B869" s="24" t="s">
        <v>253</v>
      </c>
      <c r="C869" s="25" t="s">
        <v>165</v>
      </c>
      <c r="D869" s="26"/>
      <c r="E869" s="27">
        <v>3652.45</v>
      </c>
    </row>
    <row r="870" customHeight="1" spans="2:5">
      <c r="B870" s="24" t="s">
        <v>254</v>
      </c>
      <c r="C870" s="25" t="s">
        <v>167</v>
      </c>
      <c r="D870" s="26"/>
      <c r="E870" s="27">
        <v>107.25</v>
      </c>
    </row>
    <row r="871" customHeight="1" spans="2:5">
      <c r="B871" s="24" t="s">
        <v>255</v>
      </c>
      <c r="C871" s="25" t="s">
        <v>169</v>
      </c>
      <c r="D871" s="26"/>
      <c r="E871" s="27">
        <v>3399.25</v>
      </c>
    </row>
    <row r="872" customHeight="1" spans="2:5">
      <c r="B872" s="24" t="s">
        <v>256</v>
      </c>
      <c r="C872" s="25" t="s">
        <v>171</v>
      </c>
      <c r="D872" s="26"/>
      <c r="E872" s="27">
        <v>16.32</v>
      </c>
    </row>
    <row r="873" customHeight="1" spans="2:5">
      <c r="B873" s="24" t="s">
        <v>257</v>
      </c>
      <c r="C873" s="25" t="s">
        <v>175</v>
      </c>
      <c r="D873" s="26"/>
      <c r="E873" s="27">
        <v>25609.4</v>
      </c>
    </row>
    <row r="874" customHeight="1" spans="2:5">
      <c r="B874" s="24" t="s">
        <v>258</v>
      </c>
      <c r="C874" s="25" t="s">
        <v>177</v>
      </c>
      <c r="D874" s="26"/>
      <c r="E874" s="27">
        <v>7620.5</v>
      </c>
    </row>
    <row r="875" customHeight="1" spans="2:5">
      <c r="B875" s="24" t="s">
        <v>259</v>
      </c>
      <c r="C875" s="25" t="s">
        <v>260</v>
      </c>
      <c r="D875" s="26"/>
      <c r="E875" s="27">
        <v>4626.59</v>
      </c>
    </row>
    <row r="876" customHeight="1" spans="2:5">
      <c r="B876" s="24" t="s">
        <v>261</v>
      </c>
      <c r="C876" s="25" t="s">
        <v>179</v>
      </c>
      <c r="D876" s="26"/>
      <c r="E876" s="27">
        <v>14115.37</v>
      </c>
    </row>
    <row r="877" customHeight="1" spans="2:5">
      <c r="B877" s="24" t="s">
        <v>262</v>
      </c>
      <c r="C877" s="25" t="s">
        <v>183</v>
      </c>
      <c r="D877" s="26"/>
      <c r="E877" s="27">
        <v>7891.56</v>
      </c>
    </row>
    <row r="878" customHeight="1" spans="2:5">
      <c r="B878" s="24" t="s">
        <v>263</v>
      </c>
      <c r="C878" s="25" t="s">
        <v>185</v>
      </c>
      <c r="D878" s="26"/>
      <c r="E878" s="27">
        <v>6131.57</v>
      </c>
    </row>
    <row r="879" customHeight="1" spans="2:5">
      <c r="B879" s="24" t="s">
        <v>264</v>
      </c>
      <c r="C879" s="25" t="s">
        <v>187</v>
      </c>
      <c r="D879" s="26"/>
      <c r="E879" s="27">
        <v>1900</v>
      </c>
    </row>
    <row r="880" customHeight="1" spans="2:5">
      <c r="B880" s="24" t="s">
        <v>265</v>
      </c>
      <c r="C880" s="25" t="s">
        <v>266</v>
      </c>
      <c r="D880" s="26"/>
      <c r="E880" s="27">
        <v>735</v>
      </c>
    </row>
    <row r="881" customHeight="1" spans="2:5">
      <c r="B881" s="24" t="s">
        <v>267</v>
      </c>
      <c r="C881" s="25" t="s">
        <v>191</v>
      </c>
      <c r="D881" s="26"/>
      <c r="E881" s="27">
        <v>493.47</v>
      </c>
    </row>
    <row r="882" customHeight="1" spans="2:5">
      <c r="B882" s="24" t="s">
        <v>268</v>
      </c>
      <c r="C882" s="25" t="s">
        <v>197</v>
      </c>
      <c r="D882" s="26"/>
      <c r="E882" s="27">
        <v>6803.88</v>
      </c>
    </row>
    <row r="883" customHeight="1" spans="2:5">
      <c r="B883" s="24" t="s">
        <v>269</v>
      </c>
      <c r="C883" s="25" t="s">
        <v>270</v>
      </c>
      <c r="D883" s="26"/>
      <c r="E883" s="27">
        <v>796.1</v>
      </c>
    </row>
    <row r="884" customHeight="1" spans="2:5">
      <c r="B884" s="24" t="s">
        <v>271</v>
      </c>
      <c r="C884" s="25" t="s">
        <v>210</v>
      </c>
      <c r="D884" s="26"/>
      <c r="E884" s="27">
        <v>36435.1</v>
      </c>
    </row>
    <row r="885" customHeight="1" spans="2:5">
      <c r="B885" s="24" t="s">
        <v>272</v>
      </c>
      <c r="C885" s="25" t="s">
        <v>214</v>
      </c>
      <c r="D885" s="26"/>
      <c r="E885" s="27">
        <v>2900</v>
      </c>
    </row>
    <row r="886" customHeight="1" spans="2:5">
      <c r="B886" s="24" t="s">
        <v>273</v>
      </c>
      <c r="C886" s="25" t="s">
        <v>216</v>
      </c>
      <c r="D886" s="26"/>
      <c r="E886" s="27">
        <v>115</v>
      </c>
    </row>
    <row r="887" customHeight="1" spans="2:5">
      <c r="B887" s="24" t="s">
        <v>274</v>
      </c>
      <c r="C887" s="25" t="s">
        <v>275</v>
      </c>
      <c r="D887" s="26"/>
      <c r="E887" s="28">
        <v>79000.07</v>
      </c>
    </row>
    <row r="888" customHeight="1" spans="2:5">
      <c r="B888" s="24" t="s">
        <v>276</v>
      </c>
      <c r="C888" s="25" t="s">
        <v>277</v>
      </c>
      <c r="D888" s="26"/>
      <c r="E888" s="27">
        <v>9866.18</v>
      </c>
    </row>
    <row r="889" customHeight="1" spans="2:5">
      <c r="B889" s="24" t="s">
        <v>278</v>
      </c>
      <c r="C889" s="25" t="s">
        <v>40</v>
      </c>
      <c r="D889" s="26"/>
      <c r="E889" s="27">
        <v>-9547.74</v>
      </c>
    </row>
    <row r="890" customHeight="1" spans="2:5">
      <c r="B890" s="24" t="s">
        <v>279</v>
      </c>
      <c r="C890" s="25" t="s">
        <v>42</v>
      </c>
      <c r="D890" s="26"/>
      <c r="E890" s="27">
        <v>-318.44</v>
      </c>
    </row>
    <row r="891" customHeight="1" spans="2:5">
      <c r="B891" s="24" t="s">
        <v>280</v>
      </c>
      <c r="C891" s="25" t="s">
        <v>69</v>
      </c>
      <c r="D891" s="26"/>
      <c r="E891" s="27">
        <v>-24917.37</v>
      </c>
    </row>
    <row r="892" customHeight="1" spans="2:5">
      <c r="B892" s="24" t="s">
        <v>281</v>
      </c>
      <c r="C892" s="25" t="s">
        <v>107</v>
      </c>
      <c r="D892" s="26"/>
      <c r="E892" s="27">
        <v>9132.64</v>
      </c>
    </row>
    <row r="893" customHeight="1" spans="2:5">
      <c r="B893" s="24" t="s">
        <v>282</v>
      </c>
      <c r="C893" s="25" t="s">
        <v>109</v>
      </c>
      <c r="D893" s="26"/>
      <c r="E893" s="27">
        <v>1013.42</v>
      </c>
    </row>
    <row r="894" customHeight="1" spans="2:5">
      <c r="B894" s="24" t="s">
        <v>283</v>
      </c>
      <c r="C894" s="25" t="s">
        <v>117</v>
      </c>
      <c r="D894" s="26"/>
      <c r="E894" s="27">
        <v>4100</v>
      </c>
    </row>
    <row r="895" customHeight="1" spans="2:5">
      <c r="B895" s="24" t="s">
        <v>293</v>
      </c>
      <c r="C895" s="25" t="s">
        <v>125</v>
      </c>
      <c r="D895" s="26"/>
      <c r="E895" s="27">
        <v>55</v>
      </c>
    </row>
    <row r="896" customHeight="1" spans="2:5">
      <c r="B896" s="24" t="s">
        <v>284</v>
      </c>
      <c r="C896" s="25" t="s">
        <v>129</v>
      </c>
      <c r="D896" s="26"/>
      <c r="E896" s="27">
        <v>1750.04</v>
      </c>
    </row>
    <row r="897" customHeight="1" spans="2:5">
      <c r="B897" s="24" t="s">
        <v>285</v>
      </c>
      <c r="C897" s="25" t="s">
        <v>286</v>
      </c>
      <c r="D897" s="26"/>
      <c r="E897" s="27">
        <v>1453.85</v>
      </c>
    </row>
    <row r="898" customHeight="1" spans="2:5">
      <c r="B898" s="24" t="s">
        <v>287</v>
      </c>
      <c r="C898" s="25" t="s">
        <v>137</v>
      </c>
      <c r="D898" s="26"/>
      <c r="E898" s="27">
        <v>2840.6</v>
      </c>
    </row>
    <row r="899" customHeight="1" spans="2:5">
      <c r="B899" s="24" t="s">
        <v>288</v>
      </c>
      <c r="C899" s="25" t="s">
        <v>139</v>
      </c>
      <c r="D899" s="26"/>
      <c r="E899" s="27">
        <v>3867.11</v>
      </c>
    </row>
    <row r="900" customHeight="1" spans="2:5">
      <c r="B900" s="24" t="s">
        <v>289</v>
      </c>
      <c r="C900" s="25" t="s">
        <v>177</v>
      </c>
      <c r="D900" s="26"/>
      <c r="E900" s="28">
        <v>704.71</v>
      </c>
    </row>
    <row r="901" customHeight="1" spans="2:5">
      <c r="B901" s="24" t="s">
        <v>290</v>
      </c>
      <c r="C901" s="25" t="s">
        <v>40</v>
      </c>
      <c r="D901" s="26"/>
      <c r="E901" s="27">
        <v>5036.61</v>
      </c>
    </row>
    <row r="902" customHeight="1" spans="2:5">
      <c r="B902" s="24" t="s">
        <v>291</v>
      </c>
      <c r="C902" s="25" t="s">
        <v>42</v>
      </c>
      <c r="D902" s="26"/>
      <c r="E902" s="27">
        <v>-900</v>
      </c>
    </row>
    <row r="903" customHeight="1" spans="2:5">
      <c r="B903" s="24" t="s">
        <v>292</v>
      </c>
      <c r="C903" s="25" t="s">
        <v>228</v>
      </c>
      <c r="D903" s="26"/>
      <c r="E903" s="27">
        <v>-4136.61</v>
      </c>
    </row>
    <row r="904" customHeight="1" spans="2:5">
      <c r="B904" s="24" t="s">
        <v>294</v>
      </c>
      <c r="C904" s="25" t="s">
        <v>69</v>
      </c>
      <c r="D904" s="26"/>
      <c r="E904" s="27">
        <v>-23388.77</v>
      </c>
    </row>
    <row r="905" customHeight="1" spans="2:5">
      <c r="B905" s="24" t="s">
        <v>295</v>
      </c>
      <c r="C905" s="25" t="s">
        <v>270</v>
      </c>
      <c r="D905" s="26"/>
      <c r="E905" s="27">
        <v>21245.77</v>
      </c>
    </row>
    <row r="906" customHeight="1" spans="2:5">
      <c r="B906" s="24" t="s">
        <v>296</v>
      </c>
      <c r="C906" s="25" t="s">
        <v>275</v>
      </c>
      <c r="D906" s="26"/>
      <c r="E906" s="28">
        <v>2143</v>
      </c>
    </row>
    <row r="907" customHeight="1" spans="2:5">
      <c r="B907" s="24" t="s">
        <v>297</v>
      </c>
      <c r="C907" s="25" t="s">
        <v>40</v>
      </c>
      <c r="D907" s="26"/>
      <c r="E907" s="27">
        <v>41072.01</v>
      </c>
    </row>
    <row r="908" customHeight="1" spans="2:5">
      <c r="B908" s="24" t="s">
        <v>298</v>
      </c>
      <c r="C908" s="25" t="s">
        <v>42</v>
      </c>
      <c r="D908" s="26"/>
      <c r="E908" s="27">
        <v>-1508.95</v>
      </c>
    </row>
    <row r="909" customHeight="1" spans="2:5">
      <c r="B909" s="24" t="s">
        <v>299</v>
      </c>
      <c r="C909" s="25" t="s">
        <v>228</v>
      </c>
      <c r="D909" s="26"/>
      <c r="E909" s="27">
        <v>-39563.06</v>
      </c>
    </row>
    <row r="910" customHeight="1" spans="2:5">
      <c r="B910" s="24" t="s">
        <v>300</v>
      </c>
      <c r="C910" s="25" t="s">
        <v>69</v>
      </c>
      <c r="D910" s="26"/>
      <c r="E910" s="27">
        <v>-43309.68</v>
      </c>
    </row>
    <row r="911" customHeight="1" spans="2:5">
      <c r="B911" s="24" t="s">
        <v>301</v>
      </c>
      <c r="C911" s="25" t="s">
        <v>302</v>
      </c>
      <c r="D911" s="26"/>
      <c r="E911" s="27">
        <v>-30000</v>
      </c>
    </row>
    <row r="912" customHeight="1" spans="2:5">
      <c r="B912" s="24" t="s">
        <v>303</v>
      </c>
      <c r="C912" s="25" t="s">
        <v>107</v>
      </c>
      <c r="D912" s="26"/>
      <c r="E912" s="27">
        <v>42058.75</v>
      </c>
    </row>
    <row r="913" customHeight="1" spans="2:5">
      <c r="B913" s="24" t="s">
        <v>304</v>
      </c>
      <c r="C913" s="25" t="s">
        <v>109</v>
      </c>
      <c r="D913" s="26"/>
      <c r="E913" s="27">
        <v>3789.23</v>
      </c>
    </row>
    <row r="914" customHeight="1" spans="2:5">
      <c r="B914" s="24" t="s">
        <v>305</v>
      </c>
      <c r="C914" s="25" t="s">
        <v>111</v>
      </c>
      <c r="D914" s="26"/>
      <c r="E914" s="27">
        <v>3249</v>
      </c>
    </row>
    <row r="915" customHeight="1" spans="2:5">
      <c r="B915" s="24" t="s">
        <v>306</v>
      </c>
      <c r="C915" s="25" t="s">
        <v>113</v>
      </c>
      <c r="D915" s="26"/>
      <c r="E915" s="27">
        <v>1250</v>
      </c>
    </row>
    <row r="916" customHeight="1" spans="2:5">
      <c r="B916" s="24" t="s">
        <v>307</v>
      </c>
      <c r="C916" s="25" t="s">
        <v>129</v>
      </c>
      <c r="D916" s="26"/>
      <c r="E916" s="27">
        <v>6045.82</v>
      </c>
    </row>
    <row r="917" customHeight="1" spans="2:5">
      <c r="B917" s="24" t="s">
        <v>308</v>
      </c>
      <c r="C917" s="25" t="s">
        <v>309</v>
      </c>
      <c r="D917" s="26"/>
      <c r="E917" s="27">
        <v>99.58</v>
      </c>
    </row>
    <row r="918" customHeight="1" spans="2:5">
      <c r="B918" s="24" t="s">
        <v>310</v>
      </c>
      <c r="C918" s="25" t="s">
        <v>286</v>
      </c>
      <c r="D918" s="26"/>
      <c r="E918" s="27">
        <v>17.63</v>
      </c>
    </row>
    <row r="919" customHeight="1" spans="2:5">
      <c r="B919" s="24" t="s">
        <v>311</v>
      </c>
      <c r="C919" s="25" t="s">
        <v>312</v>
      </c>
      <c r="D919" s="26"/>
      <c r="E919" s="27">
        <v>312.51</v>
      </c>
    </row>
    <row r="920" customHeight="1" spans="2:5">
      <c r="B920" s="24" t="s">
        <v>313</v>
      </c>
      <c r="C920" s="25" t="s">
        <v>153</v>
      </c>
      <c r="D920" s="26"/>
      <c r="E920" s="27">
        <v>4063.3</v>
      </c>
    </row>
    <row r="921" customHeight="1" spans="2:5">
      <c r="B921" s="24" t="s">
        <v>314</v>
      </c>
      <c r="C921" s="25" t="s">
        <v>165</v>
      </c>
      <c r="D921" s="26"/>
      <c r="E921" s="27">
        <v>139.48</v>
      </c>
    </row>
    <row r="922" customHeight="1" spans="2:5">
      <c r="B922" s="24" t="s">
        <v>315</v>
      </c>
      <c r="C922" s="25" t="s">
        <v>171</v>
      </c>
      <c r="D922" s="26"/>
      <c r="E922" s="27">
        <v>132</v>
      </c>
    </row>
    <row r="923" customHeight="1" spans="2:5">
      <c r="B923" s="24" t="s">
        <v>316</v>
      </c>
      <c r="C923" s="25" t="s">
        <v>175</v>
      </c>
      <c r="D923" s="26"/>
      <c r="E923" s="27">
        <v>-246.62</v>
      </c>
    </row>
    <row r="924" customHeight="1" spans="2:5">
      <c r="B924" s="24" t="s">
        <v>317</v>
      </c>
      <c r="C924" s="25" t="s">
        <v>177</v>
      </c>
      <c r="D924" s="26"/>
      <c r="E924" s="27">
        <v>448</v>
      </c>
    </row>
    <row r="925" customHeight="1" spans="2:5">
      <c r="B925" s="24" t="s">
        <v>318</v>
      </c>
      <c r="C925" s="25" t="s">
        <v>179</v>
      </c>
      <c r="D925" s="26"/>
      <c r="E925" s="27">
        <v>90.91</v>
      </c>
    </row>
    <row r="926" customHeight="1" spans="2:5">
      <c r="B926" s="24" t="s">
        <v>319</v>
      </c>
      <c r="C926" s="25" t="s">
        <v>185</v>
      </c>
      <c r="D926" s="26"/>
      <c r="E926" s="27">
        <v>10900.09</v>
      </c>
    </row>
    <row r="927" customHeight="1" spans="2:5">
      <c r="B927" s="24" t="s">
        <v>320</v>
      </c>
      <c r="C927" s="25" t="s">
        <v>187</v>
      </c>
      <c r="D927" s="26"/>
      <c r="E927" s="28">
        <v>960</v>
      </c>
    </row>
    <row r="928" customHeight="1" spans="2:5">
      <c r="B928" s="24" t="s">
        <v>321</v>
      </c>
      <c r="C928" s="25" t="s">
        <v>277</v>
      </c>
      <c r="D928" s="26"/>
      <c r="E928" s="27">
        <v>44329.69</v>
      </c>
    </row>
    <row r="929" customHeight="1" spans="2:5">
      <c r="B929" s="24" t="s">
        <v>322</v>
      </c>
      <c r="C929" s="25" t="s">
        <v>40</v>
      </c>
      <c r="D929" s="26"/>
      <c r="E929" s="27">
        <v>-44329.69</v>
      </c>
    </row>
    <row r="930" customHeight="1" spans="2:5">
      <c r="B930" s="24" t="s">
        <v>323</v>
      </c>
      <c r="C930" s="25" t="s">
        <v>69</v>
      </c>
      <c r="D930" s="26"/>
      <c r="E930" s="27">
        <v>-83404.76</v>
      </c>
    </row>
    <row r="931" customHeight="1" spans="2:5">
      <c r="B931" s="24" t="s">
        <v>324</v>
      </c>
      <c r="C931" s="25" t="s">
        <v>107</v>
      </c>
      <c r="D931" s="26"/>
      <c r="E931" s="27">
        <v>59385.97</v>
      </c>
    </row>
    <row r="932" customHeight="1" spans="2:5">
      <c r="B932" s="24" t="s">
        <v>325</v>
      </c>
      <c r="C932" s="25" t="s">
        <v>109</v>
      </c>
      <c r="D932" s="26"/>
      <c r="E932" s="27">
        <v>5001.49</v>
      </c>
    </row>
    <row r="933" customHeight="1" spans="2:5">
      <c r="B933" s="24" t="s">
        <v>326</v>
      </c>
      <c r="C933" s="25" t="s">
        <v>111</v>
      </c>
      <c r="D933" s="26"/>
      <c r="E933" s="27">
        <v>3412.46</v>
      </c>
    </row>
    <row r="934" customHeight="1" spans="2:5">
      <c r="B934" s="24" t="s">
        <v>327</v>
      </c>
      <c r="C934" s="25" t="s">
        <v>129</v>
      </c>
      <c r="D934" s="26"/>
      <c r="E934" s="27">
        <v>670</v>
      </c>
    </row>
    <row r="935" customHeight="1" spans="2:5">
      <c r="B935" s="24" t="s">
        <v>328</v>
      </c>
      <c r="C935" s="25" t="s">
        <v>143</v>
      </c>
      <c r="D935" s="26"/>
      <c r="E935" s="27">
        <v>225</v>
      </c>
    </row>
    <row r="936" customHeight="1" spans="2:5">
      <c r="B936" s="24" t="s">
        <v>329</v>
      </c>
      <c r="C936" s="25" t="s">
        <v>147</v>
      </c>
      <c r="D936" s="26"/>
      <c r="E936" s="27">
        <v>1350</v>
      </c>
    </row>
    <row r="937" customHeight="1" spans="2:5">
      <c r="B937" s="24" t="s">
        <v>330</v>
      </c>
      <c r="C937" s="25" t="s">
        <v>153</v>
      </c>
      <c r="D937" s="26"/>
      <c r="E937" s="27">
        <v>1800</v>
      </c>
    </row>
    <row r="938" customHeight="1" spans="2:5">
      <c r="B938" s="24" t="s">
        <v>331</v>
      </c>
      <c r="C938" s="25" t="s">
        <v>275</v>
      </c>
      <c r="D938" s="26"/>
      <c r="E938" s="28">
        <v>11559.84</v>
      </c>
    </row>
    <row r="939" customHeight="1" spans="2:5">
      <c r="B939" s="24" t="s">
        <v>332</v>
      </c>
      <c r="C939" s="25" t="s">
        <v>277</v>
      </c>
      <c r="D939" s="26"/>
      <c r="E939" s="27">
        <v>34432.02</v>
      </c>
    </row>
    <row r="940" customHeight="1" spans="2:5">
      <c r="B940" s="24" t="s">
        <v>333</v>
      </c>
      <c r="C940" s="25" t="s">
        <v>40</v>
      </c>
      <c r="D940" s="26"/>
      <c r="E940" s="27">
        <v>-34329.38</v>
      </c>
    </row>
    <row r="941" customHeight="1" spans="2:5">
      <c r="B941" s="24" t="s">
        <v>334</v>
      </c>
      <c r="C941" s="25" t="s">
        <v>42</v>
      </c>
      <c r="D941" s="26"/>
      <c r="E941" s="27">
        <v>-102.64</v>
      </c>
    </row>
    <row r="942" customHeight="1" spans="2:5">
      <c r="B942" s="24" t="s">
        <v>335</v>
      </c>
      <c r="C942" s="25" t="s">
        <v>69</v>
      </c>
      <c r="D942" s="26"/>
      <c r="E942" s="27">
        <v>-86947.91</v>
      </c>
    </row>
    <row r="943" customHeight="1" spans="2:5">
      <c r="B943" s="24" t="s">
        <v>336</v>
      </c>
      <c r="C943" s="25" t="s">
        <v>107</v>
      </c>
      <c r="D943" s="26"/>
      <c r="E943" s="27">
        <v>49107.92</v>
      </c>
    </row>
    <row r="944" customHeight="1" spans="2:5">
      <c r="B944" s="24" t="s">
        <v>337</v>
      </c>
      <c r="C944" s="25" t="s">
        <v>109</v>
      </c>
      <c r="D944" s="26"/>
      <c r="E944" s="27">
        <v>4148.65</v>
      </c>
    </row>
    <row r="945" customHeight="1" spans="2:5">
      <c r="B945" s="24" t="s">
        <v>338</v>
      </c>
      <c r="C945" s="25" t="s">
        <v>111</v>
      </c>
      <c r="D945" s="26"/>
      <c r="E945" s="27">
        <v>6397.47</v>
      </c>
    </row>
    <row r="946" customHeight="1" spans="2:5">
      <c r="B946" s="24" t="s">
        <v>339</v>
      </c>
      <c r="C946" s="25" t="s">
        <v>129</v>
      </c>
      <c r="D946" s="26"/>
      <c r="E946" s="27">
        <v>1298.31</v>
      </c>
    </row>
    <row r="947" customHeight="1" spans="2:5">
      <c r="B947" s="24" t="s">
        <v>340</v>
      </c>
      <c r="C947" s="25" t="s">
        <v>131</v>
      </c>
      <c r="D947" s="26"/>
      <c r="E947" s="27">
        <v>828</v>
      </c>
    </row>
    <row r="948" customHeight="1" spans="2:5">
      <c r="B948" s="24" t="s">
        <v>341</v>
      </c>
      <c r="C948" s="25" t="s">
        <v>143</v>
      </c>
      <c r="D948" s="26"/>
      <c r="E948" s="27">
        <v>230.1</v>
      </c>
    </row>
    <row r="949" customHeight="1" spans="2:5">
      <c r="B949" s="24" t="s">
        <v>342</v>
      </c>
      <c r="C949" s="25" t="s">
        <v>147</v>
      </c>
      <c r="D949" s="26"/>
      <c r="E949" s="27">
        <v>1893.58</v>
      </c>
    </row>
    <row r="950" customHeight="1" spans="2:5">
      <c r="B950" s="24" t="s">
        <v>343</v>
      </c>
      <c r="C950" s="25" t="s">
        <v>153</v>
      </c>
      <c r="D950" s="26"/>
      <c r="E950" s="27">
        <v>2585.74</v>
      </c>
    </row>
    <row r="951" customHeight="1" spans="2:5">
      <c r="B951" s="24" t="s">
        <v>344</v>
      </c>
      <c r="C951" s="25" t="s">
        <v>161</v>
      </c>
      <c r="D951" s="26"/>
      <c r="E951" s="27">
        <v>504.8</v>
      </c>
    </row>
    <row r="952" customHeight="1" spans="2:5">
      <c r="B952" s="24" t="s">
        <v>345</v>
      </c>
      <c r="C952" s="25" t="s">
        <v>346</v>
      </c>
      <c r="D952" s="26"/>
      <c r="E952" s="27">
        <v>126.17</v>
      </c>
    </row>
    <row r="953" customHeight="1" spans="2:5">
      <c r="B953" s="24" t="s">
        <v>347</v>
      </c>
      <c r="C953" s="25" t="s">
        <v>171</v>
      </c>
      <c r="D953" s="26"/>
      <c r="E953" s="27">
        <v>1913.41</v>
      </c>
    </row>
    <row r="954" customHeight="1" spans="2:5">
      <c r="B954" s="24" t="s">
        <v>348</v>
      </c>
      <c r="C954" s="25" t="s">
        <v>175</v>
      </c>
      <c r="D954" s="26"/>
      <c r="E954" s="27">
        <v>5157.49</v>
      </c>
    </row>
    <row r="955" customHeight="1" spans="2:5">
      <c r="B955" s="24" t="s">
        <v>349</v>
      </c>
      <c r="C955" s="25" t="s">
        <v>179</v>
      </c>
      <c r="D955" s="26"/>
      <c r="E955" s="27">
        <v>705.35</v>
      </c>
    </row>
    <row r="956" customHeight="1" spans="2:5">
      <c r="B956" s="24" t="s">
        <v>350</v>
      </c>
      <c r="C956" s="25" t="s">
        <v>275</v>
      </c>
      <c r="D956" s="26"/>
      <c r="E956" s="28">
        <v>12050.92</v>
      </c>
    </row>
    <row r="957" customHeight="1" spans="2:5">
      <c r="B957" s="24" t="s">
        <v>351</v>
      </c>
      <c r="C957" s="25" t="s">
        <v>277</v>
      </c>
      <c r="D957" s="26"/>
      <c r="E957" s="27">
        <v>47353.69</v>
      </c>
    </row>
    <row r="958" customHeight="1" spans="2:5">
      <c r="B958" s="24" t="s">
        <v>352</v>
      </c>
      <c r="C958" s="25" t="s">
        <v>40</v>
      </c>
      <c r="D958" s="26"/>
      <c r="E958" s="27">
        <v>-46887.57</v>
      </c>
    </row>
    <row r="959" customHeight="1" spans="2:5">
      <c r="B959" s="24" t="s">
        <v>353</v>
      </c>
      <c r="C959" s="25" t="s">
        <v>42</v>
      </c>
      <c r="D959" s="26"/>
      <c r="E959" s="27">
        <v>-466.12</v>
      </c>
    </row>
    <row r="960" customHeight="1" spans="2:5">
      <c r="B960" s="24" t="s">
        <v>354</v>
      </c>
      <c r="C960" s="25" t="s">
        <v>69</v>
      </c>
      <c r="D960" s="26"/>
      <c r="E960" s="27">
        <v>-424105.22</v>
      </c>
    </row>
    <row r="961" customHeight="1" spans="2:5">
      <c r="B961" s="24" t="s">
        <v>355</v>
      </c>
      <c r="C961" s="25" t="s">
        <v>107</v>
      </c>
      <c r="D961" s="26"/>
      <c r="E961" s="27">
        <v>186298.89</v>
      </c>
    </row>
    <row r="962" customHeight="1" spans="2:5">
      <c r="B962" s="24" t="s">
        <v>356</v>
      </c>
      <c r="C962" s="25" t="s">
        <v>109</v>
      </c>
      <c r="D962" s="26"/>
      <c r="E962" s="27">
        <v>16506.21</v>
      </c>
    </row>
    <row r="963" customHeight="1" spans="2:5">
      <c r="B963" s="24" t="s">
        <v>357</v>
      </c>
      <c r="C963" s="25" t="s">
        <v>111</v>
      </c>
      <c r="D963" s="26"/>
      <c r="E963" s="27">
        <v>5038.75</v>
      </c>
    </row>
    <row r="964" customHeight="1" spans="2:5">
      <c r="B964" s="24" t="s">
        <v>358</v>
      </c>
      <c r="C964" s="25" t="s">
        <v>117</v>
      </c>
      <c r="D964" s="26"/>
      <c r="E964" s="27">
        <v>6750</v>
      </c>
    </row>
    <row r="965" customHeight="1" spans="2:5">
      <c r="B965" s="24" t="s">
        <v>359</v>
      </c>
      <c r="C965" s="25" t="s">
        <v>121</v>
      </c>
      <c r="D965" s="26"/>
      <c r="E965" s="27">
        <v>2500</v>
      </c>
    </row>
    <row r="966" customHeight="1" spans="2:5">
      <c r="B966" s="24" t="s">
        <v>360</v>
      </c>
      <c r="C966" s="25" t="s">
        <v>125</v>
      </c>
      <c r="D966" s="26"/>
      <c r="E966" s="27">
        <v>403.5</v>
      </c>
    </row>
    <row r="967" customHeight="1" spans="2:5">
      <c r="B967" s="24" t="s">
        <v>361</v>
      </c>
      <c r="C967" s="25" t="s">
        <v>129</v>
      </c>
      <c r="D967" s="26"/>
      <c r="E967" s="27">
        <v>17703.8</v>
      </c>
    </row>
    <row r="968" customHeight="1" spans="2:5">
      <c r="B968" s="24" t="s">
        <v>362</v>
      </c>
      <c r="C968" s="25" t="s">
        <v>131</v>
      </c>
      <c r="D968" s="26"/>
      <c r="E968" s="27">
        <v>1537.99</v>
      </c>
    </row>
    <row r="969" customHeight="1" spans="2:5">
      <c r="B969" s="24" t="s">
        <v>363</v>
      </c>
      <c r="C969" s="25" t="s">
        <v>133</v>
      </c>
      <c r="D969" s="26"/>
      <c r="E969" s="27">
        <v>3596.91</v>
      </c>
    </row>
    <row r="970" customHeight="1" spans="2:5">
      <c r="B970" s="24" t="s">
        <v>364</v>
      </c>
      <c r="C970" s="25" t="s">
        <v>135</v>
      </c>
      <c r="D970" s="26"/>
      <c r="E970" s="27">
        <v>1083.87</v>
      </c>
    </row>
    <row r="971" customHeight="1" spans="2:5">
      <c r="B971" s="24" t="s">
        <v>365</v>
      </c>
      <c r="C971" s="25" t="s">
        <v>143</v>
      </c>
      <c r="D971" s="26"/>
      <c r="E971" s="27">
        <v>1110.7</v>
      </c>
    </row>
    <row r="972" customHeight="1" spans="2:5">
      <c r="B972" s="24" t="s">
        <v>366</v>
      </c>
      <c r="C972" s="25" t="s">
        <v>147</v>
      </c>
      <c r="D972" s="26"/>
      <c r="E972" s="27">
        <v>2115.67</v>
      </c>
    </row>
    <row r="973" customHeight="1" spans="2:5">
      <c r="B973" s="24" t="s">
        <v>367</v>
      </c>
      <c r="C973" s="25" t="s">
        <v>153</v>
      </c>
      <c r="D973" s="26"/>
      <c r="E973" s="27">
        <v>4245.68</v>
      </c>
    </row>
    <row r="974" customHeight="1" spans="2:5">
      <c r="B974" s="24" t="s">
        <v>378</v>
      </c>
      <c r="C974" s="25" t="s">
        <v>159</v>
      </c>
      <c r="D974" s="26"/>
      <c r="E974" s="27">
        <v>4196.73</v>
      </c>
    </row>
    <row r="975" customHeight="1" spans="2:5">
      <c r="B975" s="24" t="s">
        <v>380</v>
      </c>
      <c r="C975" s="25" t="s">
        <v>173</v>
      </c>
      <c r="D975" s="26"/>
      <c r="E975" s="27">
        <v>23709.27</v>
      </c>
    </row>
    <row r="976" customHeight="1" spans="2:5">
      <c r="B976" s="24" t="s">
        <v>369</v>
      </c>
      <c r="C976" s="25" t="s">
        <v>165</v>
      </c>
      <c r="D976" s="26"/>
      <c r="E976" s="27">
        <v>-340.83</v>
      </c>
    </row>
    <row r="977" customHeight="1" spans="2:5">
      <c r="B977" s="24" t="s">
        <v>370</v>
      </c>
      <c r="C977" s="25" t="s">
        <v>175</v>
      </c>
      <c r="D977" s="26"/>
      <c r="E977" s="27">
        <v>72026.64</v>
      </c>
    </row>
    <row r="978" customHeight="1" spans="2:5">
      <c r="B978" s="24" t="s">
        <v>371</v>
      </c>
      <c r="C978" s="25" t="s">
        <v>177</v>
      </c>
      <c r="D978" s="26"/>
      <c r="E978" s="27">
        <v>3706.62</v>
      </c>
    </row>
    <row r="979" customHeight="1" spans="2:5">
      <c r="B979" s="24" t="s">
        <v>372</v>
      </c>
      <c r="C979" s="25" t="s">
        <v>179</v>
      </c>
      <c r="D979" s="26"/>
      <c r="E979" s="27">
        <v>1078.86</v>
      </c>
    </row>
    <row r="980" customHeight="1" spans="2:5">
      <c r="B980" s="24" t="s">
        <v>373</v>
      </c>
      <c r="C980" s="25" t="s">
        <v>187</v>
      </c>
      <c r="D980" s="26"/>
      <c r="E980" s="27">
        <v>3625.25</v>
      </c>
    </row>
    <row r="981" customHeight="1" spans="2:5">
      <c r="B981" s="24" t="s">
        <v>374</v>
      </c>
      <c r="C981" s="25" t="s">
        <v>193</v>
      </c>
      <c r="D981" s="26"/>
      <c r="E981" s="27">
        <v>114.93</v>
      </c>
    </row>
    <row r="982" customHeight="1" spans="2:5">
      <c r="B982" s="24" t="s">
        <v>375</v>
      </c>
      <c r="C982" s="25" t="s">
        <v>197</v>
      </c>
      <c r="D982" s="26"/>
      <c r="E982" s="27">
        <v>11117.03</v>
      </c>
    </row>
    <row r="983" customHeight="1" spans="2:5">
      <c r="B983" s="24" t="s">
        <v>376</v>
      </c>
      <c r="C983" s="25" t="s">
        <v>377</v>
      </c>
      <c r="D983" s="26"/>
      <c r="E983" s="27">
        <v>1063.21</v>
      </c>
    </row>
    <row r="984" customHeight="1" spans="2:5">
      <c r="B984" s="24" t="s">
        <v>379</v>
      </c>
      <c r="C984" s="25" t="s">
        <v>275</v>
      </c>
      <c r="D984" s="26"/>
      <c r="E984" s="28">
        <v>54915.54</v>
      </c>
    </row>
    <row r="985" customHeight="1" spans="2:5">
      <c r="B985" s="24" t="s">
        <v>26</v>
      </c>
      <c r="C985" s="25" t="s">
        <v>21</v>
      </c>
      <c r="D985" s="26"/>
      <c r="E985" s="27">
        <v>500</v>
      </c>
    </row>
    <row r="986" customHeight="1" spans="2:5">
      <c r="B986" s="24" t="s">
        <v>381</v>
      </c>
      <c r="C986" s="25" t="s">
        <v>40</v>
      </c>
      <c r="D986" s="26"/>
      <c r="E986" s="27">
        <v>73443.31</v>
      </c>
    </row>
    <row r="987" customHeight="1" spans="2:5">
      <c r="B987" s="24" t="s">
        <v>382</v>
      </c>
      <c r="C987" s="25" t="s">
        <v>42</v>
      </c>
      <c r="D987" s="26"/>
      <c r="E987" s="27">
        <v>-5911.65</v>
      </c>
    </row>
    <row r="988" customHeight="1" spans="2:5">
      <c r="B988" s="24" t="s">
        <v>383</v>
      </c>
      <c r="C988" s="25" t="s">
        <v>42</v>
      </c>
      <c r="D988" s="26"/>
      <c r="E988" s="27">
        <v>-23795.96</v>
      </c>
    </row>
    <row r="989" customHeight="1" spans="2:5">
      <c r="B989" s="24" t="s">
        <v>27</v>
      </c>
      <c r="C989" s="25" t="s">
        <v>25</v>
      </c>
      <c r="D989" s="26"/>
      <c r="E989" s="27">
        <v>22045</v>
      </c>
    </row>
    <row r="990" customHeight="1" spans="2:5">
      <c r="B990" s="24" t="s">
        <v>384</v>
      </c>
      <c r="C990" s="25" t="s">
        <v>385</v>
      </c>
      <c r="D990" s="26"/>
      <c r="E990" s="27">
        <v>-615.29</v>
      </c>
    </row>
    <row r="991" customHeight="1" spans="2:5">
      <c r="B991" s="24" t="s">
        <v>386</v>
      </c>
      <c r="C991" s="25" t="s">
        <v>55</v>
      </c>
      <c r="D991" s="26"/>
      <c r="E991" s="27">
        <v>132.03</v>
      </c>
    </row>
    <row r="992" customHeight="1" spans="2:5">
      <c r="B992" s="24" t="s">
        <v>387</v>
      </c>
      <c r="C992" s="25" t="s">
        <v>228</v>
      </c>
      <c r="D992" s="26"/>
      <c r="E992" s="27">
        <v>-65797.44</v>
      </c>
    </row>
    <row r="993" customHeight="1" spans="2:5">
      <c r="B993" s="24" t="s">
        <v>388</v>
      </c>
      <c r="C993" s="25" t="s">
        <v>69</v>
      </c>
      <c r="D993" s="26"/>
      <c r="E993" s="27">
        <v>-793637.3</v>
      </c>
    </row>
    <row r="994" customHeight="1" spans="2:5">
      <c r="B994" s="24" t="s">
        <v>389</v>
      </c>
      <c r="C994" s="25" t="s">
        <v>107</v>
      </c>
      <c r="D994" s="26"/>
      <c r="E994" s="27">
        <v>397978.97</v>
      </c>
    </row>
    <row r="995" customHeight="1" spans="2:5">
      <c r="B995" s="24" t="s">
        <v>390</v>
      </c>
      <c r="C995" s="25" t="s">
        <v>109</v>
      </c>
      <c r="D995" s="26"/>
      <c r="E995" s="27">
        <v>34042.8</v>
      </c>
    </row>
    <row r="996" customHeight="1" spans="2:5">
      <c r="B996" s="24" t="s">
        <v>391</v>
      </c>
      <c r="C996" s="25" t="s">
        <v>111</v>
      </c>
      <c r="D996" s="26"/>
      <c r="E996" s="27">
        <v>29948.38</v>
      </c>
    </row>
    <row r="997" customHeight="1" spans="2:5">
      <c r="B997" s="24" t="s">
        <v>403</v>
      </c>
      <c r="C997" s="25" t="s">
        <v>404</v>
      </c>
      <c r="D997" s="26"/>
      <c r="E997" s="27">
        <v>500</v>
      </c>
    </row>
    <row r="998" customHeight="1" spans="2:5">
      <c r="B998" s="24" t="s">
        <v>392</v>
      </c>
      <c r="C998" s="25" t="s">
        <v>113</v>
      </c>
      <c r="D998" s="26"/>
      <c r="E998" s="27">
        <v>18376</v>
      </c>
    </row>
    <row r="999" customHeight="1" spans="2:5">
      <c r="B999" s="24" t="s">
        <v>393</v>
      </c>
      <c r="C999" s="25" t="s">
        <v>117</v>
      </c>
      <c r="D999" s="26"/>
      <c r="E999" s="27">
        <v>15267.09</v>
      </c>
    </row>
    <row r="1000" customHeight="1" spans="2:5">
      <c r="B1000" s="24" t="s">
        <v>394</v>
      </c>
      <c r="C1000" s="25" t="s">
        <v>121</v>
      </c>
      <c r="D1000" s="26"/>
      <c r="E1000" s="27">
        <v>49205.39</v>
      </c>
    </row>
    <row r="1001" customHeight="1" spans="2:5">
      <c r="B1001" s="24" t="s">
        <v>395</v>
      </c>
      <c r="C1001" s="25" t="s">
        <v>125</v>
      </c>
      <c r="D1001" s="26"/>
      <c r="E1001" s="27">
        <v>385</v>
      </c>
    </row>
    <row r="1002" customHeight="1" spans="2:5">
      <c r="B1002" s="24" t="s">
        <v>396</v>
      </c>
      <c r="C1002" s="25" t="s">
        <v>129</v>
      </c>
      <c r="D1002" s="26"/>
      <c r="E1002" s="27">
        <v>26862.24</v>
      </c>
    </row>
    <row r="1003" customHeight="1" spans="2:5">
      <c r="B1003" s="24" t="s">
        <v>397</v>
      </c>
      <c r="C1003" s="25" t="s">
        <v>131</v>
      </c>
      <c r="D1003" s="26"/>
      <c r="E1003" s="27">
        <v>5401.77</v>
      </c>
    </row>
    <row r="1004" customHeight="1" spans="2:5">
      <c r="B1004" s="24" t="s">
        <v>398</v>
      </c>
      <c r="C1004" s="25" t="s">
        <v>133</v>
      </c>
      <c r="D1004" s="26"/>
      <c r="E1004" s="27">
        <v>6999.81</v>
      </c>
    </row>
    <row r="1005" customHeight="1" spans="2:5">
      <c r="B1005" s="24" t="s">
        <v>399</v>
      </c>
      <c r="C1005" s="25" t="s">
        <v>135</v>
      </c>
      <c r="D1005" s="26"/>
      <c r="E1005" s="27">
        <v>3525.97</v>
      </c>
    </row>
    <row r="1006" customHeight="1" spans="2:5">
      <c r="B1006" s="24" t="s">
        <v>400</v>
      </c>
      <c r="C1006" s="25" t="s">
        <v>137</v>
      </c>
      <c r="D1006" s="26"/>
      <c r="E1006" s="27">
        <v>-914.2</v>
      </c>
    </row>
    <row r="1007" customHeight="1" spans="2:5">
      <c r="B1007" s="24" t="s">
        <v>401</v>
      </c>
      <c r="C1007" s="25" t="s">
        <v>139</v>
      </c>
      <c r="D1007" s="26"/>
      <c r="E1007" s="27">
        <v>35</v>
      </c>
    </row>
    <row r="1008" customHeight="1" spans="2:5">
      <c r="B1008" s="24" t="s">
        <v>402</v>
      </c>
      <c r="C1008" s="25" t="s">
        <v>143</v>
      </c>
      <c r="D1008" s="26"/>
      <c r="E1008" s="27">
        <v>230.1</v>
      </c>
    </row>
    <row r="1009" customHeight="1" spans="2:5">
      <c r="B1009" s="24" t="s">
        <v>405</v>
      </c>
      <c r="C1009" s="25" t="s">
        <v>145</v>
      </c>
      <c r="D1009" s="26"/>
      <c r="E1009" s="27">
        <v>9600</v>
      </c>
    </row>
    <row r="1010" customHeight="1" spans="2:5">
      <c r="B1010" s="24" t="s">
        <v>406</v>
      </c>
      <c r="C1010" s="25" t="s">
        <v>147</v>
      </c>
      <c r="D1010" s="26"/>
      <c r="E1010" s="27">
        <v>12536.82</v>
      </c>
    </row>
    <row r="1011" customHeight="1" spans="2:5">
      <c r="B1011" s="24" t="s">
        <v>407</v>
      </c>
      <c r="C1011" s="25" t="s">
        <v>153</v>
      </c>
      <c r="D1011" s="26"/>
      <c r="E1011" s="27">
        <v>3949.55</v>
      </c>
    </row>
    <row r="1012" customHeight="1" spans="2:5">
      <c r="B1012" s="24" t="s">
        <v>408</v>
      </c>
      <c r="C1012" s="25" t="s">
        <v>157</v>
      </c>
      <c r="D1012" s="26"/>
      <c r="E1012" s="27">
        <v>1599</v>
      </c>
    </row>
    <row r="1013" customHeight="1" spans="2:5">
      <c r="B1013" s="24" t="s">
        <v>424</v>
      </c>
      <c r="C1013" s="25" t="s">
        <v>161</v>
      </c>
      <c r="D1013" s="26"/>
      <c r="E1013" s="27">
        <v>2653</v>
      </c>
    </row>
    <row r="1014" customHeight="1" spans="2:5">
      <c r="B1014" s="24" t="s">
        <v>409</v>
      </c>
      <c r="C1014" s="25" t="s">
        <v>163</v>
      </c>
      <c r="D1014" s="26"/>
      <c r="E1014" s="27">
        <v>18673.11</v>
      </c>
    </row>
    <row r="1015" customHeight="1" spans="2:5">
      <c r="B1015" s="24" t="s">
        <v>410</v>
      </c>
      <c r="C1015" s="25" t="s">
        <v>171</v>
      </c>
      <c r="D1015" s="26"/>
      <c r="E1015" s="27">
        <v>125.56</v>
      </c>
    </row>
    <row r="1016" customHeight="1" spans="2:5">
      <c r="B1016" s="24" t="s">
        <v>411</v>
      </c>
      <c r="C1016" s="25" t="s">
        <v>175</v>
      </c>
      <c r="D1016" s="26"/>
      <c r="E1016" s="27">
        <v>17551.37</v>
      </c>
    </row>
    <row r="1017" customHeight="1" spans="2:5">
      <c r="B1017" s="24" t="s">
        <v>412</v>
      </c>
      <c r="C1017" s="25" t="s">
        <v>177</v>
      </c>
      <c r="D1017" s="26"/>
      <c r="E1017" s="27">
        <v>270</v>
      </c>
    </row>
    <row r="1018" customHeight="1" spans="2:5">
      <c r="B1018" s="24" t="s">
        <v>413</v>
      </c>
      <c r="C1018" s="25" t="s">
        <v>179</v>
      </c>
      <c r="D1018" s="26"/>
      <c r="E1018" s="27">
        <v>7223.96</v>
      </c>
    </row>
    <row r="1019" customHeight="1" spans="2:5">
      <c r="B1019" s="24" t="s">
        <v>414</v>
      </c>
      <c r="C1019" s="25" t="s">
        <v>185</v>
      </c>
      <c r="D1019" s="26"/>
      <c r="E1019" s="27">
        <v>214.63</v>
      </c>
    </row>
    <row r="1020" customHeight="1" spans="2:5">
      <c r="B1020" s="24" t="s">
        <v>415</v>
      </c>
      <c r="C1020" s="25" t="s">
        <v>187</v>
      </c>
      <c r="D1020" s="26"/>
      <c r="E1020" s="27">
        <v>2298.84</v>
      </c>
    </row>
    <row r="1021" customHeight="1" spans="2:5">
      <c r="B1021" s="24" t="s">
        <v>416</v>
      </c>
      <c r="C1021" s="25" t="s">
        <v>417</v>
      </c>
      <c r="D1021" s="26"/>
      <c r="E1021" s="27">
        <v>7942.22</v>
      </c>
    </row>
    <row r="1022" customHeight="1" spans="2:5">
      <c r="B1022" s="24" t="s">
        <v>418</v>
      </c>
      <c r="C1022" s="25" t="s">
        <v>197</v>
      </c>
      <c r="D1022" s="26"/>
      <c r="E1022" s="27">
        <v>17387.71</v>
      </c>
    </row>
    <row r="1023" customHeight="1" spans="2:5">
      <c r="B1023" s="24" t="s">
        <v>419</v>
      </c>
      <c r="C1023" s="25" t="s">
        <v>105</v>
      </c>
      <c r="D1023" s="26"/>
      <c r="E1023" s="27">
        <v>38580.74</v>
      </c>
    </row>
    <row r="1024" customHeight="1" spans="2:5">
      <c r="B1024" s="24" t="s">
        <v>420</v>
      </c>
      <c r="C1024" s="25" t="s">
        <v>421</v>
      </c>
      <c r="D1024" s="26"/>
      <c r="E1024" s="27">
        <v>11359.21</v>
      </c>
    </row>
    <row r="1025" customHeight="1" spans="2:5">
      <c r="B1025" s="24" t="s">
        <v>422</v>
      </c>
      <c r="C1025" s="25" t="s">
        <v>423</v>
      </c>
      <c r="D1025" s="26"/>
      <c r="E1025" s="27">
        <v>2530.8</v>
      </c>
    </row>
    <row r="1026" customHeight="1" spans="2:5">
      <c r="B1026" s="24" t="s">
        <v>425</v>
      </c>
      <c r="C1026" s="25" t="s">
        <v>377</v>
      </c>
      <c r="D1026" s="26"/>
      <c r="E1026" s="27">
        <v>5233.61</v>
      </c>
    </row>
    <row r="1027" customHeight="1" spans="2:5">
      <c r="B1027" s="24" t="s">
        <v>426</v>
      </c>
      <c r="C1027" s="25" t="s">
        <v>275</v>
      </c>
      <c r="D1027" s="26"/>
      <c r="E1027" s="28">
        <v>46062.85</v>
      </c>
    </row>
    <row r="1028" customHeight="1" spans="2:5">
      <c r="B1028" s="24" t="s">
        <v>427</v>
      </c>
      <c r="C1028" s="25" t="s">
        <v>69</v>
      </c>
      <c r="D1028" s="26"/>
      <c r="E1028" s="27">
        <v>-3908.28</v>
      </c>
    </row>
    <row r="1029" customHeight="1" spans="2:5">
      <c r="B1029" s="24" t="s">
        <v>428</v>
      </c>
      <c r="C1029" s="25" t="s">
        <v>107</v>
      </c>
      <c r="D1029" s="26"/>
      <c r="E1029" s="27">
        <v>1351.5</v>
      </c>
    </row>
    <row r="1030" customHeight="1" spans="2:5">
      <c r="B1030" s="24" t="s">
        <v>429</v>
      </c>
      <c r="C1030" s="25" t="s">
        <v>109</v>
      </c>
      <c r="D1030" s="26"/>
      <c r="E1030" s="27">
        <v>147.78</v>
      </c>
    </row>
    <row r="1031" customHeight="1" spans="2:5">
      <c r="B1031" s="24" t="s">
        <v>430</v>
      </c>
      <c r="C1031" s="25" t="s">
        <v>431</v>
      </c>
      <c r="D1031" s="26"/>
      <c r="E1031" s="28">
        <v>2409</v>
      </c>
    </row>
    <row r="1032" customHeight="1" spans="2:5">
      <c r="B1032" s="24" t="s">
        <v>432</v>
      </c>
      <c r="C1032" s="25" t="s">
        <v>40</v>
      </c>
      <c r="D1032" s="26"/>
      <c r="E1032" s="27">
        <v>150905.46</v>
      </c>
    </row>
    <row r="1033" customHeight="1" spans="2:5">
      <c r="B1033" s="24" t="s">
        <v>433</v>
      </c>
      <c r="C1033" s="25" t="s">
        <v>42</v>
      </c>
      <c r="D1033" s="26"/>
      <c r="E1033" s="27">
        <v>-2516.97</v>
      </c>
    </row>
    <row r="1034" customHeight="1" spans="2:5">
      <c r="B1034" s="24" t="s">
        <v>434</v>
      </c>
      <c r="C1034" s="25" t="s">
        <v>228</v>
      </c>
      <c r="D1034" s="26"/>
      <c r="E1034" s="27">
        <v>-148388.49</v>
      </c>
    </row>
    <row r="1035" customHeight="1" spans="2:5">
      <c r="B1035" s="24" t="s">
        <v>435</v>
      </c>
      <c r="C1035" s="25" t="s">
        <v>69</v>
      </c>
      <c r="D1035" s="26"/>
      <c r="E1035" s="27">
        <v>-40935.87</v>
      </c>
    </row>
    <row r="1036" customHeight="1" spans="2:5">
      <c r="B1036" s="24" t="s">
        <v>436</v>
      </c>
      <c r="C1036" s="25" t="s">
        <v>133</v>
      </c>
      <c r="D1036" s="26"/>
      <c r="E1036" s="27">
        <v>3456.87</v>
      </c>
    </row>
    <row r="1037" customHeight="1" spans="2:5">
      <c r="B1037" s="24" t="s">
        <v>450</v>
      </c>
      <c r="C1037" s="25" t="s">
        <v>161</v>
      </c>
      <c r="D1037" s="26"/>
      <c r="E1037" s="27">
        <v>25103</v>
      </c>
    </row>
    <row r="1038" customHeight="1" spans="2:5">
      <c r="B1038" s="24" t="s">
        <v>452</v>
      </c>
      <c r="C1038" s="25" t="s">
        <v>218</v>
      </c>
      <c r="D1038" s="26"/>
      <c r="E1038" s="28">
        <v>12376</v>
      </c>
    </row>
    <row r="1039" customHeight="1" spans="2:5">
      <c r="B1039" s="24" t="s">
        <v>437</v>
      </c>
      <c r="C1039" s="25" t="s">
        <v>40</v>
      </c>
      <c r="D1039" s="26"/>
      <c r="E1039" s="27">
        <v>73672.61</v>
      </c>
    </row>
    <row r="1040" customHeight="1" spans="2:5">
      <c r="B1040" s="24" t="s">
        <v>438</v>
      </c>
      <c r="C1040" s="25" t="s">
        <v>42</v>
      </c>
      <c r="D1040" s="26"/>
      <c r="E1040" s="27">
        <v>-4306.4</v>
      </c>
    </row>
    <row r="1041" customHeight="1" spans="2:5">
      <c r="B1041" s="24" t="s">
        <v>439</v>
      </c>
      <c r="C1041" s="25" t="s">
        <v>228</v>
      </c>
      <c r="D1041" s="26"/>
      <c r="E1041" s="27">
        <v>-69366.21</v>
      </c>
    </row>
    <row r="1042" customHeight="1" spans="2:5">
      <c r="B1042" s="24" t="s">
        <v>440</v>
      </c>
      <c r="C1042" s="25" t="s">
        <v>69</v>
      </c>
      <c r="D1042" s="26"/>
      <c r="E1042" s="27">
        <v>-48852.02</v>
      </c>
    </row>
    <row r="1043" customHeight="1" spans="2:5">
      <c r="B1043" s="24" t="s">
        <v>441</v>
      </c>
      <c r="C1043" s="25" t="s">
        <v>185</v>
      </c>
      <c r="D1043" s="26"/>
      <c r="E1043" s="28">
        <v>48852.02</v>
      </c>
    </row>
    <row r="1044" customHeight="1" spans="2:5">
      <c r="B1044" s="24" t="s">
        <v>442</v>
      </c>
      <c r="C1044" s="25" t="s">
        <v>277</v>
      </c>
      <c r="D1044" s="26"/>
      <c r="E1044" s="27">
        <v>59011.55</v>
      </c>
    </row>
    <row r="1045" customHeight="1" spans="2:5">
      <c r="B1045" s="24" t="s">
        <v>443</v>
      </c>
      <c r="C1045" s="25" t="s">
        <v>40</v>
      </c>
      <c r="D1045" s="26"/>
      <c r="E1045" s="27">
        <v>-55578.98</v>
      </c>
    </row>
    <row r="1046" customHeight="1" spans="2:5">
      <c r="B1046" s="24" t="s">
        <v>444</v>
      </c>
      <c r="C1046" s="25" t="s">
        <v>42</v>
      </c>
      <c r="D1046" s="26"/>
      <c r="E1046" s="27">
        <v>-3498.24</v>
      </c>
    </row>
    <row r="1047" customHeight="1" spans="2:5">
      <c r="B1047" s="24" t="s">
        <v>445</v>
      </c>
      <c r="C1047" s="25" t="s">
        <v>55</v>
      </c>
      <c r="D1047" s="26"/>
      <c r="E1047" s="27">
        <v>65.67</v>
      </c>
    </row>
    <row r="1048" customHeight="1" spans="2:5">
      <c r="B1048" s="24" t="s">
        <v>446</v>
      </c>
      <c r="C1048" s="25" t="s">
        <v>69</v>
      </c>
      <c r="D1048" s="26"/>
      <c r="E1048" s="27">
        <v>-666157.35</v>
      </c>
    </row>
    <row r="1049" customHeight="1" spans="2:5">
      <c r="B1049" s="24" t="s">
        <v>447</v>
      </c>
      <c r="C1049" s="25" t="s">
        <v>107</v>
      </c>
      <c r="D1049" s="26"/>
      <c r="E1049" s="27">
        <v>438448.97</v>
      </c>
    </row>
    <row r="1050" customHeight="1" spans="2:5">
      <c r="B1050" s="24" t="s">
        <v>448</v>
      </c>
      <c r="C1050" s="25" t="s">
        <v>109</v>
      </c>
      <c r="D1050" s="26"/>
      <c r="E1050" s="27">
        <v>36287.63</v>
      </c>
    </row>
    <row r="1051" customHeight="1" spans="2:5">
      <c r="B1051" s="24" t="s">
        <v>449</v>
      </c>
      <c r="C1051" s="25" t="s">
        <v>111</v>
      </c>
      <c r="D1051" s="26"/>
      <c r="E1051" s="27">
        <v>63535.27</v>
      </c>
    </row>
    <row r="1052" customHeight="1" spans="2:5">
      <c r="B1052" s="24" t="s">
        <v>451</v>
      </c>
      <c r="C1052" s="25" t="s">
        <v>117</v>
      </c>
      <c r="D1052" s="26"/>
      <c r="E1052" s="27">
        <v>1794.53</v>
      </c>
    </row>
    <row r="1053" customHeight="1" spans="2:5">
      <c r="B1053" s="24" t="s">
        <v>453</v>
      </c>
      <c r="C1053" s="25" t="s">
        <v>121</v>
      </c>
      <c r="D1053" s="26"/>
      <c r="E1053" s="27">
        <v>1045</v>
      </c>
    </row>
    <row r="1054" customHeight="1" spans="2:5">
      <c r="B1054" s="24" t="s">
        <v>454</v>
      </c>
      <c r="C1054" s="25" t="s">
        <v>125</v>
      </c>
      <c r="D1054" s="26"/>
      <c r="E1054" s="27">
        <v>1664.22</v>
      </c>
    </row>
    <row r="1055" customHeight="1" spans="2:5">
      <c r="B1055" s="24" t="s">
        <v>455</v>
      </c>
      <c r="C1055" s="25" t="s">
        <v>129</v>
      </c>
      <c r="D1055" s="26"/>
      <c r="E1055" s="27">
        <v>6564.65</v>
      </c>
    </row>
    <row r="1056" customHeight="1" spans="2:5">
      <c r="B1056" s="24" t="s">
        <v>456</v>
      </c>
      <c r="C1056" s="25" t="s">
        <v>309</v>
      </c>
      <c r="D1056" s="26"/>
      <c r="E1056" s="27">
        <v>1500</v>
      </c>
    </row>
    <row r="1057" customHeight="1" spans="2:5">
      <c r="B1057" s="24" t="s">
        <v>457</v>
      </c>
      <c r="C1057" s="25" t="s">
        <v>458</v>
      </c>
      <c r="D1057" s="26"/>
      <c r="E1057" s="27">
        <v>791.38</v>
      </c>
    </row>
    <row r="1058" customHeight="1" spans="2:5">
      <c r="B1058" s="24" t="s">
        <v>459</v>
      </c>
      <c r="C1058" s="25" t="s">
        <v>286</v>
      </c>
      <c r="D1058" s="26"/>
      <c r="E1058" s="27">
        <v>19574.06</v>
      </c>
    </row>
    <row r="1059" customHeight="1" spans="2:5">
      <c r="B1059" s="24" t="s">
        <v>460</v>
      </c>
      <c r="C1059" s="25" t="s">
        <v>143</v>
      </c>
      <c r="D1059" s="26"/>
      <c r="E1059" s="27">
        <v>288.35</v>
      </c>
    </row>
    <row r="1060" customHeight="1" spans="2:5">
      <c r="B1060" s="24" t="s">
        <v>461</v>
      </c>
      <c r="C1060" s="25" t="s">
        <v>147</v>
      </c>
      <c r="D1060" s="26"/>
      <c r="E1060" s="27">
        <v>14974.99</v>
      </c>
    </row>
    <row r="1061" customHeight="1" spans="2:5">
      <c r="B1061" s="24" t="s">
        <v>462</v>
      </c>
      <c r="C1061" s="25" t="s">
        <v>149</v>
      </c>
      <c r="D1061" s="26"/>
      <c r="E1061" s="27">
        <v>5629.47</v>
      </c>
    </row>
    <row r="1062" customHeight="1" spans="2:5">
      <c r="B1062" s="24" t="s">
        <v>463</v>
      </c>
      <c r="C1062" s="25" t="s">
        <v>153</v>
      </c>
      <c r="D1062" s="26"/>
      <c r="E1062" s="27">
        <v>5530.81</v>
      </c>
    </row>
    <row r="1063" customHeight="1" spans="2:5">
      <c r="B1063" s="24" t="s">
        <v>464</v>
      </c>
      <c r="C1063" s="25" t="s">
        <v>249</v>
      </c>
      <c r="D1063" s="26"/>
      <c r="E1063" s="27">
        <v>219</v>
      </c>
    </row>
    <row r="1064" customHeight="1" spans="2:5">
      <c r="B1064" s="24" t="s">
        <v>465</v>
      </c>
      <c r="C1064" s="25" t="s">
        <v>161</v>
      </c>
      <c r="D1064" s="26"/>
      <c r="E1064" s="27">
        <v>1739.75</v>
      </c>
    </row>
    <row r="1065" customHeight="1" spans="2:5">
      <c r="B1065" s="24" t="s">
        <v>466</v>
      </c>
      <c r="C1065" s="25" t="s">
        <v>163</v>
      </c>
      <c r="D1065" s="26"/>
      <c r="E1065" s="27">
        <v>1199</v>
      </c>
    </row>
    <row r="1066" customHeight="1" spans="2:5">
      <c r="B1066" s="24" t="s">
        <v>467</v>
      </c>
      <c r="C1066" s="25" t="s">
        <v>165</v>
      </c>
      <c r="D1066" s="26"/>
      <c r="E1066" s="27">
        <v>13034.81</v>
      </c>
    </row>
    <row r="1067" customHeight="1" spans="2:5">
      <c r="B1067" s="24" t="s">
        <v>468</v>
      </c>
      <c r="C1067" s="25" t="s">
        <v>469</v>
      </c>
      <c r="D1067" s="26"/>
      <c r="E1067" s="27">
        <v>187.11</v>
      </c>
    </row>
    <row r="1068" customHeight="1" spans="2:5">
      <c r="B1068" s="24" t="s">
        <v>470</v>
      </c>
      <c r="C1068" s="25" t="s">
        <v>167</v>
      </c>
      <c r="D1068" s="26"/>
      <c r="E1068" s="27">
        <v>148.5</v>
      </c>
    </row>
    <row r="1069" customHeight="1" spans="2:5">
      <c r="B1069" s="24" t="s">
        <v>471</v>
      </c>
      <c r="C1069" s="25" t="s">
        <v>171</v>
      </c>
      <c r="D1069" s="26"/>
      <c r="E1069" s="27">
        <v>127.82</v>
      </c>
    </row>
    <row r="1070" customHeight="1" spans="2:5">
      <c r="B1070" s="24" t="s">
        <v>472</v>
      </c>
      <c r="C1070" s="25" t="s">
        <v>175</v>
      </c>
      <c r="D1070" s="26"/>
      <c r="E1070" s="27">
        <v>7892.91</v>
      </c>
    </row>
    <row r="1071" customHeight="1" spans="2:5">
      <c r="B1071" s="24" t="s">
        <v>473</v>
      </c>
      <c r="C1071" s="25" t="s">
        <v>177</v>
      </c>
      <c r="D1071" s="26"/>
      <c r="E1071" s="27">
        <v>6898.12</v>
      </c>
    </row>
    <row r="1072" customHeight="1" spans="2:5">
      <c r="B1072" s="24" t="s">
        <v>474</v>
      </c>
      <c r="C1072" s="25" t="s">
        <v>179</v>
      </c>
      <c r="D1072" s="26"/>
      <c r="E1072" s="27">
        <v>1220.77</v>
      </c>
    </row>
    <row r="1073" customHeight="1" spans="2:5">
      <c r="B1073" s="24" t="s">
        <v>475</v>
      </c>
      <c r="C1073" s="25" t="s">
        <v>266</v>
      </c>
      <c r="D1073" s="26"/>
      <c r="E1073" s="27">
        <v>735</v>
      </c>
    </row>
    <row r="1074" customHeight="1" spans="2:5">
      <c r="B1074" s="24" t="s">
        <v>476</v>
      </c>
      <c r="C1074" s="25" t="s">
        <v>195</v>
      </c>
      <c r="D1074" s="26"/>
      <c r="E1074" s="27">
        <v>2913.63</v>
      </c>
    </row>
    <row r="1075" customHeight="1" spans="2:5">
      <c r="B1075" s="24" t="s">
        <v>477</v>
      </c>
      <c r="C1075" s="25" t="s">
        <v>105</v>
      </c>
      <c r="D1075" s="26"/>
      <c r="E1075" s="27">
        <v>371.96</v>
      </c>
    </row>
    <row r="1076" customHeight="1" spans="2:5">
      <c r="B1076" s="24" t="s">
        <v>478</v>
      </c>
      <c r="C1076" s="25" t="s">
        <v>275</v>
      </c>
      <c r="D1076" s="26"/>
      <c r="E1076" s="28">
        <v>31839.64</v>
      </c>
    </row>
    <row r="1077" customHeight="1" spans="2:5">
      <c r="B1077" s="24" t="s">
        <v>479</v>
      </c>
      <c r="C1077" s="25" t="s">
        <v>277</v>
      </c>
      <c r="D1077" s="26"/>
      <c r="E1077" s="27">
        <v>91059.92</v>
      </c>
    </row>
    <row r="1078" customHeight="1" spans="2:5">
      <c r="B1078" s="24" t="s">
        <v>480</v>
      </c>
      <c r="C1078" s="25" t="s">
        <v>40</v>
      </c>
      <c r="D1078" s="26"/>
      <c r="E1078" s="27">
        <v>-85291.12</v>
      </c>
    </row>
    <row r="1079" customHeight="1" spans="2:5">
      <c r="B1079" s="24" t="s">
        <v>481</v>
      </c>
      <c r="C1079" s="25" t="s">
        <v>42</v>
      </c>
      <c r="D1079" s="26"/>
      <c r="E1079" s="27">
        <v>-6239.68</v>
      </c>
    </row>
    <row r="1080" customHeight="1" spans="2:5">
      <c r="B1080" s="24" t="s">
        <v>482</v>
      </c>
      <c r="C1080" s="25" t="s">
        <v>55</v>
      </c>
      <c r="D1080" s="26"/>
      <c r="E1080" s="27">
        <v>470.88</v>
      </c>
    </row>
    <row r="1081" customHeight="1" spans="2:5">
      <c r="B1081" s="24" t="s">
        <v>483</v>
      </c>
      <c r="C1081" s="25" t="s">
        <v>69</v>
      </c>
      <c r="D1081" s="26"/>
      <c r="E1081" s="27">
        <v>-910650.08</v>
      </c>
    </row>
    <row r="1082" customHeight="1" spans="2:5">
      <c r="B1082" s="24" t="s">
        <v>484</v>
      </c>
      <c r="C1082" s="25" t="s">
        <v>107</v>
      </c>
      <c r="D1082" s="26"/>
      <c r="E1082" s="27">
        <v>517097.37</v>
      </c>
    </row>
    <row r="1083" customHeight="1" spans="2:5">
      <c r="B1083" s="24" t="s">
        <v>485</v>
      </c>
      <c r="C1083" s="25" t="s">
        <v>109</v>
      </c>
      <c r="D1083" s="26"/>
      <c r="E1083" s="27">
        <v>45294.04</v>
      </c>
    </row>
    <row r="1084" customHeight="1" spans="2:5">
      <c r="B1084" s="24" t="s">
        <v>486</v>
      </c>
      <c r="C1084" s="25" t="s">
        <v>111</v>
      </c>
      <c r="D1084" s="26"/>
      <c r="E1084" s="27">
        <v>83114.5</v>
      </c>
    </row>
    <row r="1085" customHeight="1" spans="2:5">
      <c r="B1085" s="24" t="s">
        <v>487</v>
      </c>
      <c r="C1085" s="25" t="s">
        <v>117</v>
      </c>
      <c r="D1085" s="26"/>
      <c r="E1085" s="27">
        <v>1980</v>
      </c>
    </row>
    <row r="1086" customHeight="1" spans="2:5">
      <c r="B1086" s="24" t="s">
        <v>488</v>
      </c>
      <c r="C1086" s="25" t="s">
        <v>121</v>
      </c>
      <c r="D1086" s="26"/>
      <c r="E1086" s="27">
        <v>926.86</v>
      </c>
    </row>
    <row r="1087" customHeight="1" spans="2:5">
      <c r="B1087" s="24" t="s">
        <v>489</v>
      </c>
      <c r="C1087" s="25" t="s">
        <v>125</v>
      </c>
      <c r="D1087" s="26"/>
      <c r="E1087" s="27">
        <v>1130</v>
      </c>
    </row>
    <row r="1088" customHeight="1" spans="2:5">
      <c r="B1088" s="24" t="s">
        <v>490</v>
      </c>
      <c r="C1088" s="25" t="s">
        <v>129</v>
      </c>
      <c r="D1088" s="26"/>
      <c r="E1088" s="27">
        <v>14061.83</v>
      </c>
    </row>
    <row r="1089" customHeight="1" spans="2:5">
      <c r="B1089" s="24" t="s">
        <v>491</v>
      </c>
      <c r="C1089" s="25" t="s">
        <v>286</v>
      </c>
      <c r="D1089" s="26"/>
      <c r="E1089" s="27">
        <v>45638.66</v>
      </c>
    </row>
    <row r="1090" customHeight="1" spans="2:5">
      <c r="B1090" s="24" t="s">
        <v>492</v>
      </c>
      <c r="C1090" s="25" t="s">
        <v>131</v>
      </c>
      <c r="D1090" s="26"/>
      <c r="E1090" s="27">
        <v>8500.11</v>
      </c>
    </row>
    <row r="1091" customHeight="1" spans="2:5">
      <c r="B1091" s="24" t="s">
        <v>493</v>
      </c>
      <c r="C1091" s="25" t="s">
        <v>133</v>
      </c>
      <c r="D1091" s="26"/>
      <c r="E1091" s="27">
        <v>7.59</v>
      </c>
    </row>
    <row r="1092" customHeight="1" spans="2:5">
      <c r="B1092" s="24" t="s">
        <v>494</v>
      </c>
      <c r="C1092" s="25" t="s">
        <v>139</v>
      </c>
      <c r="D1092" s="26"/>
      <c r="E1092" s="27">
        <v>49.95</v>
      </c>
    </row>
    <row r="1093" customHeight="1" spans="2:5">
      <c r="B1093" s="24" t="s">
        <v>495</v>
      </c>
      <c r="C1093" s="25" t="s">
        <v>141</v>
      </c>
      <c r="D1093" s="26"/>
      <c r="E1093" s="27">
        <v>4437.81</v>
      </c>
    </row>
    <row r="1094" customHeight="1" spans="2:5">
      <c r="B1094" s="24" t="s">
        <v>496</v>
      </c>
      <c r="C1094" s="25" t="s">
        <v>143</v>
      </c>
      <c r="D1094" s="26"/>
      <c r="E1094" s="27">
        <v>510.13</v>
      </c>
    </row>
    <row r="1095" customHeight="1" spans="2:5">
      <c r="B1095" s="24" t="s">
        <v>497</v>
      </c>
      <c r="C1095" s="25" t="s">
        <v>147</v>
      </c>
      <c r="D1095" s="26"/>
      <c r="E1095" s="27">
        <v>17571.59</v>
      </c>
    </row>
    <row r="1096" customHeight="1" spans="2:5">
      <c r="B1096" s="24" t="s">
        <v>498</v>
      </c>
      <c r="C1096" s="25" t="s">
        <v>149</v>
      </c>
      <c r="D1096" s="26"/>
      <c r="E1096" s="27">
        <v>5949.42</v>
      </c>
    </row>
    <row r="1097" customHeight="1" spans="2:5">
      <c r="B1097" s="24" t="s">
        <v>499</v>
      </c>
      <c r="C1097" s="25" t="s">
        <v>153</v>
      </c>
      <c r="D1097" s="26"/>
      <c r="E1097" s="27">
        <v>8257.76</v>
      </c>
    </row>
    <row r="1098" customHeight="1" spans="2:5">
      <c r="B1098" s="24" t="s">
        <v>500</v>
      </c>
      <c r="C1098" s="25" t="s">
        <v>249</v>
      </c>
      <c r="D1098" s="26"/>
      <c r="E1098" s="27">
        <v>4570</v>
      </c>
    </row>
    <row r="1099" customHeight="1" spans="2:5">
      <c r="B1099" s="24" t="s">
        <v>501</v>
      </c>
      <c r="C1099" s="25" t="s">
        <v>161</v>
      </c>
      <c r="D1099" s="26"/>
      <c r="E1099" s="27">
        <v>13746.32</v>
      </c>
    </row>
    <row r="1100" customHeight="1" spans="2:5">
      <c r="B1100" s="24" t="s">
        <v>502</v>
      </c>
      <c r="C1100" s="25" t="s">
        <v>165</v>
      </c>
      <c r="D1100" s="26"/>
      <c r="E1100" s="27">
        <v>27972.86</v>
      </c>
    </row>
    <row r="1101" customHeight="1" spans="2:5">
      <c r="B1101" s="24" t="s">
        <v>503</v>
      </c>
      <c r="C1101" s="25" t="s">
        <v>167</v>
      </c>
      <c r="D1101" s="26"/>
      <c r="E1101" s="27">
        <v>1480.17</v>
      </c>
    </row>
    <row r="1102" customHeight="1" spans="2:5">
      <c r="B1102" s="24" t="s">
        <v>504</v>
      </c>
      <c r="C1102" s="25" t="s">
        <v>171</v>
      </c>
      <c r="D1102" s="26"/>
      <c r="E1102" s="27">
        <v>1098.07</v>
      </c>
    </row>
    <row r="1103" customHeight="1" spans="2:5">
      <c r="B1103" s="24" t="s">
        <v>505</v>
      </c>
      <c r="C1103" s="25" t="s">
        <v>175</v>
      </c>
      <c r="D1103" s="26"/>
      <c r="E1103" s="27">
        <v>8728.08</v>
      </c>
    </row>
    <row r="1104" customHeight="1" spans="2:5">
      <c r="B1104" s="24" t="s">
        <v>506</v>
      </c>
      <c r="C1104" s="25" t="s">
        <v>177</v>
      </c>
      <c r="D1104" s="26"/>
      <c r="E1104" s="27">
        <v>20662.59</v>
      </c>
    </row>
    <row r="1105" customHeight="1" spans="2:5">
      <c r="B1105" s="24" t="s">
        <v>507</v>
      </c>
      <c r="C1105" s="25" t="s">
        <v>179</v>
      </c>
      <c r="D1105" s="26"/>
      <c r="E1105" s="27">
        <v>2104.16</v>
      </c>
    </row>
    <row r="1106" customHeight="1" spans="2:5">
      <c r="B1106" s="24" t="s">
        <v>508</v>
      </c>
      <c r="C1106" s="25" t="s">
        <v>187</v>
      </c>
      <c r="D1106" s="26"/>
      <c r="E1106" s="27">
        <v>46.99</v>
      </c>
    </row>
    <row r="1107" customHeight="1" spans="2:5">
      <c r="B1107" s="24" t="s">
        <v>509</v>
      </c>
      <c r="C1107" s="25" t="s">
        <v>266</v>
      </c>
      <c r="D1107" s="26"/>
      <c r="E1107" s="27">
        <v>735</v>
      </c>
    </row>
    <row r="1108" customHeight="1" spans="2:5">
      <c r="B1108" s="24" t="s">
        <v>510</v>
      </c>
      <c r="C1108" s="25" t="s">
        <v>511</v>
      </c>
      <c r="D1108" s="26"/>
      <c r="E1108" s="27">
        <v>3714.9</v>
      </c>
    </row>
    <row r="1109" customHeight="1" spans="2:5">
      <c r="B1109" s="24" t="s">
        <v>512</v>
      </c>
      <c r="C1109" s="25" t="s">
        <v>195</v>
      </c>
      <c r="D1109" s="26"/>
      <c r="E1109" s="27">
        <v>2577.77</v>
      </c>
    </row>
    <row r="1110" customHeight="1" spans="2:5">
      <c r="B1110" s="24" t="s">
        <v>528</v>
      </c>
      <c r="C1110" s="25" t="s">
        <v>220</v>
      </c>
      <c r="D1110" s="26"/>
      <c r="E1110" s="27">
        <v>5409.23</v>
      </c>
    </row>
    <row r="1111" customHeight="1" spans="2:5">
      <c r="B1111" s="24" t="s">
        <v>530</v>
      </c>
      <c r="C1111" s="25" t="s">
        <v>531</v>
      </c>
      <c r="D1111" s="26"/>
      <c r="E1111" s="27">
        <v>10648.32</v>
      </c>
    </row>
    <row r="1112" customHeight="1" spans="2:5">
      <c r="B1112" s="24" t="s">
        <v>513</v>
      </c>
      <c r="C1112" s="25" t="s">
        <v>275</v>
      </c>
      <c r="D1112" s="26"/>
      <c r="E1112" s="28">
        <v>52628</v>
      </c>
    </row>
    <row r="1113" customHeight="1" spans="2:5">
      <c r="B1113" s="24" t="s">
        <v>514</v>
      </c>
      <c r="C1113" s="25" t="s">
        <v>277</v>
      </c>
      <c r="D1113" s="26"/>
      <c r="E1113" s="27">
        <v>71205.94</v>
      </c>
    </row>
    <row r="1114" customHeight="1" spans="2:5">
      <c r="B1114" s="24" t="s">
        <v>515</v>
      </c>
      <c r="C1114" s="25" t="s">
        <v>40</v>
      </c>
      <c r="D1114" s="26"/>
      <c r="E1114" s="27">
        <v>-70584.8</v>
      </c>
    </row>
    <row r="1115" customHeight="1" spans="2:5">
      <c r="B1115" s="24" t="s">
        <v>516</v>
      </c>
      <c r="C1115" s="25" t="s">
        <v>42</v>
      </c>
      <c r="D1115" s="26"/>
      <c r="E1115" s="27">
        <v>-621.14</v>
      </c>
    </row>
    <row r="1116" customHeight="1" spans="2:5">
      <c r="B1116" s="24" t="s">
        <v>517</v>
      </c>
      <c r="C1116" s="25" t="s">
        <v>69</v>
      </c>
      <c r="D1116" s="26"/>
      <c r="E1116" s="27">
        <v>-303663.12</v>
      </c>
    </row>
    <row r="1117" customHeight="1" spans="2:5">
      <c r="B1117" s="24" t="s">
        <v>518</v>
      </c>
      <c r="C1117" s="25" t="s">
        <v>107</v>
      </c>
      <c r="D1117" s="26"/>
      <c r="E1117" s="27">
        <v>172457.03</v>
      </c>
    </row>
    <row r="1118" customHeight="1" spans="2:5">
      <c r="B1118" s="24" t="s">
        <v>519</v>
      </c>
      <c r="C1118" s="25" t="s">
        <v>109</v>
      </c>
      <c r="D1118" s="26"/>
      <c r="E1118" s="27">
        <v>14255.85</v>
      </c>
    </row>
    <row r="1119" customHeight="1" spans="2:5">
      <c r="B1119" s="24" t="s">
        <v>520</v>
      </c>
      <c r="C1119" s="25" t="s">
        <v>111</v>
      </c>
      <c r="D1119" s="26"/>
      <c r="E1119" s="27">
        <v>31102.24</v>
      </c>
    </row>
    <row r="1120" customHeight="1" spans="2:5">
      <c r="B1120" s="24" t="s">
        <v>521</v>
      </c>
      <c r="C1120" s="25" t="s">
        <v>121</v>
      </c>
      <c r="D1120" s="26"/>
      <c r="E1120" s="27">
        <v>501.46</v>
      </c>
    </row>
    <row r="1121" customHeight="1" spans="2:5">
      <c r="B1121" s="24" t="s">
        <v>522</v>
      </c>
      <c r="C1121" s="25" t="s">
        <v>129</v>
      </c>
      <c r="D1121" s="26"/>
      <c r="E1121" s="27">
        <v>-2551.7</v>
      </c>
    </row>
    <row r="1122" customHeight="1" spans="2:5">
      <c r="B1122" s="24" t="s">
        <v>523</v>
      </c>
      <c r="C1122" s="25" t="s">
        <v>131</v>
      </c>
      <c r="D1122" s="26"/>
      <c r="E1122" s="27">
        <v>828</v>
      </c>
    </row>
    <row r="1123" customHeight="1" spans="2:5">
      <c r="B1123" s="24" t="s">
        <v>524</v>
      </c>
      <c r="C1123" s="25" t="s">
        <v>133</v>
      </c>
      <c r="D1123" s="26"/>
      <c r="E1123" s="27">
        <v>391.47</v>
      </c>
    </row>
    <row r="1124" customHeight="1" spans="2:5">
      <c r="B1124" s="24" t="s">
        <v>525</v>
      </c>
      <c r="C1124" s="25" t="s">
        <v>139</v>
      </c>
      <c r="D1124" s="26"/>
      <c r="E1124" s="27">
        <v>1.16</v>
      </c>
    </row>
    <row r="1125" customHeight="1" spans="2:5">
      <c r="B1125" s="24" t="s">
        <v>526</v>
      </c>
      <c r="C1125" s="25" t="s">
        <v>143</v>
      </c>
      <c r="D1125" s="26"/>
      <c r="E1125" s="27">
        <v>230.1</v>
      </c>
    </row>
    <row r="1126" customHeight="1" spans="2:5">
      <c r="B1126" s="24" t="s">
        <v>527</v>
      </c>
      <c r="C1126" s="25" t="s">
        <v>147</v>
      </c>
      <c r="D1126" s="26"/>
      <c r="E1126" s="27">
        <v>4390.68</v>
      </c>
    </row>
    <row r="1127" customHeight="1" spans="2:5">
      <c r="B1127" s="24" t="s">
        <v>529</v>
      </c>
      <c r="C1127" s="25" t="s">
        <v>153</v>
      </c>
      <c r="D1127" s="26"/>
      <c r="E1127" s="27">
        <v>6128.43</v>
      </c>
    </row>
    <row r="1128" customHeight="1" spans="2:5">
      <c r="B1128" s="24" t="s">
        <v>552</v>
      </c>
      <c r="C1128" s="25" t="s">
        <v>161</v>
      </c>
      <c r="D1128" s="26"/>
      <c r="E1128" s="27">
        <v>13047.85</v>
      </c>
    </row>
    <row r="1129" customHeight="1" spans="2:5">
      <c r="B1129" s="24" t="s">
        <v>532</v>
      </c>
      <c r="C1129" s="25" t="s">
        <v>165</v>
      </c>
      <c r="D1129" s="26"/>
      <c r="E1129" s="27">
        <v>1044.01</v>
      </c>
    </row>
    <row r="1130" customHeight="1" spans="2:5">
      <c r="B1130" s="24" t="s">
        <v>533</v>
      </c>
      <c r="C1130" s="25" t="s">
        <v>171</v>
      </c>
      <c r="D1130" s="26"/>
      <c r="E1130" s="27">
        <v>-96.09</v>
      </c>
    </row>
    <row r="1131" customHeight="1" spans="2:5">
      <c r="B1131" s="24" t="s">
        <v>534</v>
      </c>
      <c r="C1131" s="25" t="s">
        <v>535</v>
      </c>
      <c r="D1131" s="26"/>
      <c r="E1131" s="27">
        <v>1308.49</v>
      </c>
    </row>
    <row r="1132" customHeight="1" spans="2:5">
      <c r="B1132" s="24" t="s">
        <v>536</v>
      </c>
      <c r="C1132" s="25" t="s">
        <v>175</v>
      </c>
      <c r="D1132" s="26"/>
      <c r="E1132" s="27">
        <v>14287.19</v>
      </c>
    </row>
    <row r="1133" customHeight="1" spans="2:5">
      <c r="B1133" s="24" t="s">
        <v>537</v>
      </c>
      <c r="C1133" s="25" t="s">
        <v>179</v>
      </c>
      <c r="D1133" s="26"/>
      <c r="E1133" s="27">
        <v>252.96</v>
      </c>
    </row>
    <row r="1134" customHeight="1" spans="2:5">
      <c r="B1134" s="24" t="s">
        <v>538</v>
      </c>
      <c r="C1134" s="25" t="s">
        <v>266</v>
      </c>
      <c r="D1134" s="26"/>
      <c r="E1134" s="27">
        <v>4010</v>
      </c>
    </row>
    <row r="1135" customHeight="1" spans="2:5">
      <c r="B1135" s="24" t="s">
        <v>539</v>
      </c>
      <c r="C1135" s="25" t="s">
        <v>540</v>
      </c>
      <c r="D1135" s="26"/>
      <c r="E1135" s="27">
        <v>628.15</v>
      </c>
    </row>
    <row r="1136" customHeight="1" spans="2:5">
      <c r="B1136" s="24" t="s">
        <v>541</v>
      </c>
      <c r="C1136" s="25" t="s">
        <v>542</v>
      </c>
      <c r="D1136" s="26"/>
      <c r="E1136" s="27">
        <v>31.34</v>
      </c>
    </row>
    <row r="1137" customHeight="1" spans="2:5">
      <c r="B1137" s="24" t="s">
        <v>543</v>
      </c>
      <c r="C1137" s="25" t="s">
        <v>377</v>
      </c>
      <c r="D1137" s="26"/>
      <c r="E1137" s="27">
        <v>-673.01</v>
      </c>
    </row>
    <row r="1138" customHeight="1" spans="2:5">
      <c r="B1138" s="24" t="s">
        <v>544</v>
      </c>
      <c r="C1138" s="25" t="s">
        <v>275</v>
      </c>
      <c r="D1138" s="26"/>
      <c r="E1138" s="28">
        <v>42087.51</v>
      </c>
    </row>
    <row r="1139" customHeight="1" spans="2:5">
      <c r="B1139" s="24" t="s">
        <v>545</v>
      </c>
      <c r="C1139" s="25" t="s">
        <v>40</v>
      </c>
      <c r="D1139" s="26"/>
      <c r="E1139" s="27">
        <v>30384.55</v>
      </c>
    </row>
    <row r="1140" customHeight="1" spans="2:5">
      <c r="B1140" s="24" t="s">
        <v>546</v>
      </c>
      <c r="C1140" s="25" t="s">
        <v>42</v>
      </c>
      <c r="D1140" s="26"/>
      <c r="E1140" s="27">
        <v>-1768.03</v>
      </c>
    </row>
    <row r="1141" customHeight="1" spans="2:5">
      <c r="B1141" s="24" t="s">
        <v>547</v>
      </c>
      <c r="C1141" s="25" t="s">
        <v>228</v>
      </c>
      <c r="D1141" s="26"/>
      <c r="E1141" s="27">
        <v>-28616.52</v>
      </c>
    </row>
    <row r="1142" customHeight="1" spans="2:5">
      <c r="B1142" s="24" t="s">
        <v>548</v>
      </c>
      <c r="C1142" s="25" t="s">
        <v>69</v>
      </c>
      <c r="D1142" s="26"/>
      <c r="E1142" s="27">
        <v>-146339.45</v>
      </c>
    </row>
    <row r="1143" customHeight="1" spans="2:5">
      <c r="B1143" s="24" t="s">
        <v>549</v>
      </c>
      <c r="C1143" s="25" t="s">
        <v>107</v>
      </c>
      <c r="D1143" s="26"/>
      <c r="E1143" s="27">
        <v>18072</v>
      </c>
    </row>
    <row r="1144" customHeight="1" spans="2:5">
      <c r="B1144" s="24" t="s">
        <v>550</v>
      </c>
      <c r="C1144" s="25" t="s">
        <v>109</v>
      </c>
      <c r="D1144" s="26"/>
      <c r="E1144" s="27">
        <v>1841.36</v>
      </c>
    </row>
    <row r="1145" customHeight="1" spans="2:5">
      <c r="B1145" s="24" t="s">
        <v>551</v>
      </c>
      <c r="C1145" s="25" t="s">
        <v>111</v>
      </c>
      <c r="D1145" s="26"/>
      <c r="E1145" s="27">
        <v>731</v>
      </c>
    </row>
    <row r="1146" customHeight="1" spans="2:5">
      <c r="B1146" s="24" t="s">
        <v>553</v>
      </c>
      <c r="C1146" s="25" t="s">
        <v>129</v>
      </c>
      <c r="D1146" s="26"/>
      <c r="E1146" s="27">
        <v>41223.58</v>
      </c>
    </row>
    <row r="1147" customHeight="1" spans="2:5">
      <c r="B1147" s="24" t="s">
        <v>554</v>
      </c>
      <c r="C1147" s="25" t="s">
        <v>131</v>
      </c>
      <c r="D1147" s="26"/>
      <c r="E1147" s="27">
        <v>276</v>
      </c>
    </row>
    <row r="1148" customHeight="1" spans="2:5">
      <c r="B1148" s="24" t="s">
        <v>555</v>
      </c>
      <c r="C1148" s="25" t="s">
        <v>137</v>
      </c>
      <c r="D1148" s="26"/>
      <c r="E1148" s="27">
        <v>528.94</v>
      </c>
    </row>
    <row r="1149" customHeight="1" spans="2:5">
      <c r="B1149" s="24" t="s">
        <v>556</v>
      </c>
      <c r="C1149" s="25" t="s">
        <v>147</v>
      </c>
      <c r="D1149" s="26"/>
      <c r="E1149" s="27">
        <v>803.3</v>
      </c>
    </row>
    <row r="1150" customHeight="1" spans="2:5">
      <c r="B1150" s="24" t="s">
        <v>557</v>
      </c>
      <c r="C1150" s="25" t="s">
        <v>153</v>
      </c>
      <c r="D1150" s="26"/>
      <c r="E1150" s="27">
        <v>3142.24</v>
      </c>
    </row>
    <row r="1151" customHeight="1" spans="2:5">
      <c r="B1151" s="24" t="s">
        <v>576</v>
      </c>
      <c r="C1151" s="25" t="s">
        <v>161</v>
      </c>
      <c r="D1151" s="26"/>
      <c r="E1151" s="27">
        <v>5800</v>
      </c>
    </row>
    <row r="1152" customHeight="1" spans="2:5">
      <c r="B1152" s="24" t="s">
        <v>558</v>
      </c>
      <c r="C1152" s="25" t="s">
        <v>165</v>
      </c>
      <c r="D1152" s="26"/>
      <c r="E1152" s="27">
        <v>11187.6</v>
      </c>
    </row>
    <row r="1153" customHeight="1" spans="2:5">
      <c r="B1153" s="24" t="s">
        <v>559</v>
      </c>
      <c r="C1153" s="25" t="s">
        <v>469</v>
      </c>
      <c r="D1153" s="26"/>
      <c r="E1153" s="27">
        <v>1877</v>
      </c>
    </row>
    <row r="1154" customHeight="1" spans="2:5">
      <c r="B1154" s="24" t="s">
        <v>560</v>
      </c>
      <c r="C1154" s="25" t="s">
        <v>175</v>
      </c>
      <c r="D1154" s="26"/>
      <c r="E1154" s="27">
        <v>8028.69</v>
      </c>
    </row>
    <row r="1155" customHeight="1" spans="2:5">
      <c r="B1155" s="24" t="s">
        <v>561</v>
      </c>
      <c r="C1155" s="25" t="s">
        <v>179</v>
      </c>
      <c r="D1155" s="26"/>
      <c r="E1155" s="27">
        <v>599.26</v>
      </c>
    </row>
    <row r="1156" customHeight="1" spans="2:5">
      <c r="B1156" s="24" t="s">
        <v>562</v>
      </c>
      <c r="C1156" s="25" t="s">
        <v>185</v>
      </c>
      <c r="D1156" s="26"/>
      <c r="E1156" s="27">
        <v>602.04</v>
      </c>
    </row>
    <row r="1157" customHeight="1" spans="2:5">
      <c r="B1157" s="24" t="s">
        <v>563</v>
      </c>
      <c r="C1157" s="25" t="s">
        <v>197</v>
      </c>
      <c r="D1157" s="26"/>
      <c r="E1157" s="27">
        <v>1200.09</v>
      </c>
    </row>
    <row r="1158" customHeight="1" spans="2:5">
      <c r="B1158" s="24" t="s">
        <v>564</v>
      </c>
      <c r="C1158" s="25" t="s">
        <v>208</v>
      </c>
      <c r="D1158" s="26"/>
      <c r="E1158" s="27">
        <v>14037.92</v>
      </c>
    </row>
    <row r="1159" customHeight="1" spans="2:5">
      <c r="B1159" s="24" t="s">
        <v>585</v>
      </c>
      <c r="C1159" s="25" t="s">
        <v>218</v>
      </c>
      <c r="D1159" s="26"/>
      <c r="E1159" s="27">
        <v>4893.35</v>
      </c>
    </row>
    <row r="1160" customHeight="1" spans="2:5">
      <c r="B1160" s="24" t="s">
        <v>565</v>
      </c>
      <c r="C1160" s="25" t="s">
        <v>377</v>
      </c>
      <c r="D1160" s="26"/>
      <c r="E1160" s="28">
        <v>31495.08</v>
      </c>
    </row>
    <row r="1161" customHeight="1" spans="2:5">
      <c r="B1161" s="24" t="s">
        <v>566</v>
      </c>
      <c r="C1161" s="25" t="s">
        <v>40</v>
      </c>
      <c r="D1161" s="26"/>
      <c r="E1161" s="27">
        <v>240453.13</v>
      </c>
    </row>
    <row r="1162" customHeight="1" spans="2:5">
      <c r="B1162" s="24" t="s">
        <v>567</v>
      </c>
      <c r="C1162" s="25" t="s">
        <v>228</v>
      </c>
      <c r="D1162" s="26"/>
      <c r="E1162" s="27">
        <v>-240453.13</v>
      </c>
    </row>
    <row r="1163" customHeight="1" spans="2:5">
      <c r="B1163" s="24" t="s">
        <v>568</v>
      </c>
      <c r="C1163" s="25" t="s">
        <v>69</v>
      </c>
      <c r="D1163" s="26"/>
      <c r="E1163" s="27">
        <v>-82019.39</v>
      </c>
    </row>
    <row r="1164" customHeight="1" spans="2:5">
      <c r="B1164" s="24" t="s">
        <v>569</v>
      </c>
      <c r="C1164" s="25" t="s">
        <v>107</v>
      </c>
      <c r="D1164" s="26"/>
      <c r="E1164" s="27">
        <v>32362.1</v>
      </c>
    </row>
    <row r="1165" customHeight="1" spans="2:5">
      <c r="B1165" s="24" t="s">
        <v>570</v>
      </c>
      <c r="C1165" s="25" t="s">
        <v>109</v>
      </c>
      <c r="D1165" s="26"/>
      <c r="E1165" s="27">
        <v>2640.27</v>
      </c>
    </row>
    <row r="1166" customHeight="1" spans="2:5">
      <c r="B1166" s="24" t="s">
        <v>571</v>
      </c>
      <c r="C1166" s="25" t="s">
        <v>111</v>
      </c>
      <c r="D1166" s="26"/>
      <c r="E1166" s="27">
        <v>21654.51</v>
      </c>
    </row>
    <row r="1167" customHeight="1" spans="2:5">
      <c r="B1167" s="24" t="s">
        <v>572</v>
      </c>
      <c r="C1167" s="25" t="s">
        <v>121</v>
      </c>
      <c r="D1167" s="26"/>
      <c r="E1167" s="27">
        <v>356.78</v>
      </c>
    </row>
    <row r="1168" customHeight="1" spans="2:5">
      <c r="B1168" s="24" t="s">
        <v>573</v>
      </c>
      <c r="C1168" s="25" t="s">
        <v>129</v>
      </c>
      <c r="D1168" s="26"/>
      <c r="E1168" s="27">
        <v>3075.88</v>
      </c>
    </row>
    <row r="1169" customHeight="1" spans="2:5">
      <c r="B1169" s="24" t="s">
        <v>574</v>
      </c>
      <c r="C1169" s="25" t="s">
        <v>143</v>
      </c>
      <c r="D1169" s="26"/>
      <c r="E1169" s="27">
        <v>-225</v>
      </c>
    </row>
    <row r="1170" customHeight="1" spans="2:5">
      <c r="B1170" s="24" t="s">
        <v>575</v>
      </c>
      <c r="C1170" s="25" t="s">
        <v>147</v>
      </c>
      <c r="D1170" s="26"/>
      <c r="E1170" s="27">
        <v>691.37</v>
      </c>
    </row>
    <row r="1171" customHeight="1" spans="2:5">
      <c r="B1171" s="24" t="s">
        <v>577</v>
      </c>
      <c r="C1171" s="25" t="s">
        <v>153</v>
      </c>
      <c r="D1171" s="26"/>
      <c r="E1171" s="27">
        <v>3188.11</v>
      </c>
    </row>
    <row r="1172" customHeight="1" spans="2:5">
      <c r="B1172" s="24" t="s">
        <v>578</v>
      </c>
      <c r="C1172" s="25" t="s">
        <v>249</v>
      </c>
      <c r="D1172" s="26"/>
      <c r="E1172" s="27">
        <v>150</v>
      </c>
    </row>
    <row r="1173" customHeight="1" spans="2:5">
      <c r="B1173" s="24" t="s">
        <v>579</v>
      </c>
      <c r="C1173" s="25" t="s">
        <v>165</v>
      </c>
      <c r="D1173" s="26"/>
      <c r="E1173" s="27">
        <v>253.24</v>
      </c>
    </row>
    <row r="1174" customHeight="1" spans="2:5">
      <c r="B1174" s="24" t="s">
        <v>580</v>
      </c>
      <c r="C1174" s="25" t="s">
        <v>167</v>
      </c>
      <c r="D1174" s="26"/>
      <c r="E1174" s="27">
        <v>41.25</v>
      </c>
    </row>
    <row r="1175" customHeight="1" spans="2:5">
      <c r="B1175" s="24" t="s">
        <v>581</v>
      </c>
      <c r="C1175" s="25" t="s">
        <v>175</v>
      </c>
      <c r="D1175" s="26"/>
      <c r="E1175" s="27">
        <v>2860.07</v>
      </c>
    </row>
    <row r="1176" customHeight="1" spans="2:5">
      <c r="B1176" s="24" t="s">
        <v>582</v>
      </c>
      <c r="C1176" s="25" t="s">
        <v>179</v>
      </c>
      <c r="D1176" s="26"/>
      <c r="E1176" s="27">
        <v>860.79</v>
      </c>
    </row>
    <row r="1177" customHeight="1" spans="2:5">
      <c r="B1177" s="24" t="s">
        <v>583</v>
      </c>
      <c r="C1177" s="25" t="s">
        <v>200</v>
      </c>
      <c r="D1177" s="26"/>
      <c r="E1177" s="27">
        <v>2742.19</v>
      </c>
    </row>
    <row r="1178" customHeight="1" spans="2:5">
      <c r="B1178" s="24" t="s">
        <v>584</v>
      </c>
      <c r="C1178" s="25" t="s">
        <v>275</v>
      </c>
      <c r="D1178" s="26"/>
      <c r="E1178" s="28">
        <v>11367.83</v>
      </c>
    </row>
    <row r="1179" customHeight="1" spans="2:5">
      <c r="B1179" s="24" t="s">
        <v>586</v>
      </c>
      <c r="C1179" s="25" t="s">
        <v>277</v>
      </c>
      <c r="D1179" s="26"/>
      <c r="E1179" s="27">
        <v>57471.24</v>
      </c>
    </row>
    <row r="1180" customHeight="1" spans="2:5">
      <c r="B1180" s="24" t="s">
        <v>587</v>
      </c>
      <c r="C1180" s="25" t="s">
        <v>40</v>
      </c>
      <c r="D1180" s="26"/>
      <c r="E1180" s="27">
        <v>32893.74</v>
      </c>
    </row>
    <row r="1181" customHeight="1" spans="2:5">
      <c r="B1181" s="24" t="s">
        <v>588</v>
      </c>
      <c r="C1181" s="25" t="s">
        <v>42</v>
      </c>
      <c r="D1181" s="26"/>
      <c r="E1181" s="27">
        <v>-27131.7</v>
      </c>
    </row>
    <row r="1182" customHeight="1" spans="2:5">
      <c r="B1182" s="24" t="s">
        <v>589</v>
      </c>
      <c r="C1182" s="25" t="s">
        <v>55</v>
      </c>
      <c r="D1182" s="26"/>
      <c r="E1182" s="27">
        <v>49.97</v>
      </c>
    </row>
    <row r="1183" customHeight="1" spans="2:5">
      <c r="B1183" s="24" t="s">
        <v>590</v>
      </c>
      <c r="C1183" s="25" t="s">
        <v>63</v>
      </c>
      <c r="D1183" s="26"/>
      <c r="E1183" s="27">
        <v>-65665.95</v>
      </c>
    </row>
    <row r="1184" customHeight="1" spans="2:5">
      <c r="B1184" s="24" t="s">
        <v>591</v>
      </c>
      <c r="C1184" s="25" t="s">
        <v>69</v>
      </c>
      <c r="D1184" s="26"/>
      <c r="E1184" s="27">
        <v>-1092861.38</v>
      </c>
    </row>
    <row r="1185" customHeight="1" spans="2:5">
      <c r="B1185" s="24" t="s">
        <v>592</v>
      </c>
      <c r="C1185" s="25" t="s">
        <v>97</v>
      </c>
      <c r="D1185" s="26"/>
      <c r="E1185" s="27">
        <v>-80275.85</v>
      </c>
    </row>
    <row r="1186" customHeight="1" spans="2:5">
      <c r="B1186" s="24" t="s">
        <v>593</v>
      </c>
      <c r="C1186" s="25" t="s">
        <v>107</v>
      </c>
      <c r="D1186" s="26"/>
      <c r="E1186" s="27">
        <v>82546.44</v>
      </c>
    </row>
    <row r="1187" customHeight="1" spans="2:5">
      <c r="B1187" s="24" t="s">
        <v>594</v>
      </c>
      <c r="C1187" s="25" t="s">
        <v>109</v>
      </c>
      <c r="D1187" s="26"/>
      <c r="E1187" s="27">
        <v>6300.15</v>
      </c>
    </row>
    <row r="1188" customHeight="1" spans="2:5">
      <c r="B1188" s="24" t="s">
        <v>595</v>
      </c>
      <c r="C1188" s="25" t="s">
        <v>111</v>
      </c>
      <c r="D1188" s="26"/>
      <c r="E1188" s="27">
        <v>17819.7</v>
      </c>
    </row>
    <row r="1189" customHeight="1" spans="2:5">
      <c r="B1189" s="24" t="s">
        <v>596</v>
      </c>
      <c r="C1189" s="25" t="s">
        <v>117</v>
      </c>
      <c r="D1189" s="26"/>
      <c r="E1189" s="27">
        <v>61.13</v>
      </c>
    </row>
    <row r="1190" customHeight="1" spans="2:5">
      <c r="B1190" s="24" t="s">
        <v>597</v>
      </c>
      <c r="C1190" s="25" t="s">
        <v>125</v>
      </c>
      <c r="D1190" s="26"/>
      <c r="E1190" s="27">
        <v>95</v>
      </c>
    </row>
    <row r="1191" customHeight="1" spans="2:5">
      <c r="B1191" s="24" t="s">
        <v>598</v>
      </c>
      <c r="C1191" s="25" t="s">
        <v>129</v>
      </c>
      <c r="D1191" s="26"/>
      <c r="E1191" s="27">
        <v>12102.03</v>
      </c>
    </row>
    <row r="1192" customHeight="1" spans="2:5">
      <c r="B1192" s="24" t="s">
        <v>599</v>
      </c>
      <c r="C1192" s="25" t="s">
        <v>309</v>
      </c>
      <c r="D1192" s="26"/>
      <c r="E1192" s="27">
        <v>250.24</v>
      </c>
    </row>
    <row r="1193" customHeight="1" spans="2:5">
      <c r="B1193" s="24" t="s">
        <v>600</v>
      </c>
      <c r="C1193" s="25" t="s">
        <v>458</v>
      </c>
      <c r="D1193" s="26"/>
      <c r="E1193" s="27">
        <v>6385.68</v>
      </c>
    </row>
    <row r="1194" customHeight="1" spans="2:5">
      <c r="B1194" s="24" t="s">
        <v>601</v>
      </c>
      <c r="C1194" s="25" t="s">
        <v>131</v>
      </c>
      <c r="D1194" s="26"/>
      <c r="E1194" s="27">
        <v>753.33</v>
      </c>
    </row>
    <row r="1195" customHeight="1" spans="2:5">
      <c r="B1195" s="24" t="s">
        <v>602</v>
      </c>
      <c r="C1195" s="25" t="s">
        <v>143</v>
      </c>
      <c r="D1195" s="26"/>
      <c r="E1195" s="27">
        <v>8239.3</v>
      </c>
    </row>
    <row r="1196" customHeight="1" spans="2:5">
      <c r="B1196" s="24" t="s">
        <v>603</v>
      </c>
      <c r="C1196" s="25" t="s">
        <v>147</v>
      </c>
      <c r="D1196" s="26"/>
      <c r="E1196" s="27">
        <v>28962.17</v>
      </c>
    </row>
    <row r="1197" customHeight="1" spans="2:5">
      <c r="B1197" s="24" t="s">
        <v>604</v>
      </c>
      <c r="C1197" s="25" t="s">
        <v>151</v>
      </c>
      <c r="D1197" s="26"/>
      <c r="E1197" s="27">
        <v>34.24</v>
      </c>
    </row>
    <row r="1198" customHeight="1" spans="2:5">
      <c r="B1198" s="24" t="s">
        <v>605</v>
      </c>
      <c r="C1198" s="25" t="s">
        <v>153</v>
      </c>
      <c r="D1198" s="26"/>
      <c r="E1198" s="27">
        <v>16495.16</v>
      </c>
    </row>
    <row r="1199" customHeight="1" spans="2:5">
      <c r="B1199" s="24" t="s">
        <v>627</v>
      </c>
      <c r="C1199" s="25" t="s">
        <v>161</v>
      </c>
      <c r="D1199" s="26"/>
      <c r="E1199" s="27">
        <v>8014.5</v>
      </c>
    </row>
    <row r="1200" customHeight="1" spans="2:5">
      <c r="B1200" s="24" t="s">
        <v>606</v>
      </c>
      <c r="C1200" s="25" t="s">
        <v>165</v>
      </c>
      <c r="D1200" s="26"/>
      <c r="E1200" s="27">
        <v>130593.19</v>
      </c>
    </row>
    <row r="1201" customHeight="1" spans="2:5">
      <c r="B1201" s="24" t="s">
        <v>607</v>
      </c>
      <c r="C1201" s="25" t="s">
        <v>175</v>
      </c>
      <c r="D1201" s="26"/>
      <c r="E1201" s="27">
        <v>3866.8</v>
      </c>
    </row>
    <row r="1202" customHeight="1" spans="2:5">
      <c r="B1202" s="24" t="s">
        <v>609</v>
      </c>
      <c r="C1202" s="25" t="s">
        <v>179</v>
      </c>
      <c r="D1202" s="26"/>
      <c r="E1202" s="27">
        <v>84.5</v>
      </c>
    </row>
    <row r="1203" customHeight="1" spans="2:5">
      <c r="B1203" s="24" t="s">
        <v>610</v>
      </c>
      <c r="C1203" s="25" t="s">
        <v>197</v>
      </c>
      <c r="D1203" s="26"/>
      <c r="E1203" s="27">
        <v>3717.02</v>
      </c>
    </row>
    <row r="1204" customHeight="1" spans="2:5">
      <c r="B1204" s="24" t="s">
        <v>634</v>
      </c>
      <c r="C1204" s="25" t="s">
        <v>218</v>
      </c>
      <c r="D1204" s="26"/>
      <c r="E1204" s="27">
        <v>50265.32</v>
      </c>
    </row>
    <row r="1205" customHeight="1" spans="2:5">
      <c r="B1205" s="24" t="s">
        <v>636</v>
      </c>
      <c r="C1205" s="25" t="s">
        <v>220</v>
      </c>
      <c r="D1205" s="26"/>
      <c r="E1205" s="27">
        <v>27980</v>
      </c>
    </row>
    <row r="1206" customHeight="1" spans="2:5">
      <c r="B1206" s="24" t="s">
        <v>611</v>
      </c>
      <c r="C1206" s="25" t="s">
        <v>612</v>
      </c>
      <c r="D1206" s="26"/>
      <c r="E1206" s="27">
        <v>762750.57</v>
      </c>
    </row>
    <row r="1207" customHeight="1" spans="2:5">
      <c r="B1207" s="24" t="s">
        <v>613</v>
      </c>
      <c r="C1207" s="25" t="s">
        <v>275</v>
      </c>
      <c r="D1207" s="26"/>
      <c r="E1207" s="28">
        <v>8203.46</v>
      </c>
    </row>
    <row r="1208" customHeight="1" spans="2:5">
      <c r="B1208" s="24" t="s">
        <v>614</v>
      </c>
      <c r="C1208" s="25" t="s">
        <v>277</v>
      </c>
      <c r="D1208" s="26"/>
      <c r="E1208" s="27">
        <v>80716.91</v>
      </c>
    </row>
    <row r="1209" customHeight="1" spans="2:5">
      <c r="B1209" s="24" t="s">
        <v>615</v>
      </c>
      <c r="C1209" s="25" t="s">
        <v>40</v>
      </c>
      <c r="D1209" s="26"/>
      <c r="E1209" s="27">
        <v>-76347.49</v>
      </c>
    </row>
    <row r="1210" customHeight="1" spans="2:5">
      <c r="B1210" s="24" t="s">
        <v>616</v>
      </c>
      <c r="C1210" s="25" t="s">
        <v>42</v>
      </c>
      <c r="D1210" s="26"/>
      <c r="E1210" s="27">
        <v>-4369.42</v>
      </c>
    </row>
    <row r="1211" customHeight="1" spans="2:5">
      <c r="B1211" s="24" t="s">
        <v>617</v>
      </c>
      <c r="C1211" s="25" t="s">
        <v>69</v>
      </c>
      <c r="D1211" s="26"/>
      <c r="E1211" s="27">
        <v>-705851.16</v>
      </c>
    </row>
    <row r="1212" customHeight="1" spans="2:5">
      <c r="B1212" s="24" t="s">
        <v>618</v>
      </c>
      <c r="C1212" s="25" t="s">
        <v>107</v>
      </c>
      <c r="D1212" s="26"/>
      <c r="E1212" s="27">
        <v>250976.88</v>
      </c>
    </row>
    <row r="1213" customHeight="1" spans="2:5">
      <c r="B1213" s="24" t="s">
        <v>619</v>
      </c>
      <c r="C1213" s="25" t="s">
        <v>109</v>
      </c>
      <c r="D1213" s="26"/>
      <c r="E1213" s="27">
        <v>22380.95</v>
      </c>
    </row>
    <row r="1214" customHeight="1" spans="2:5">
      <c r="B1214" s="24" t="s">
        <v>620</v>
      </c>
      <c r="C1214" s="25" t="s">
        <v>111</v>
      </c>
      <c r="D1214" s="26"/>
      <c r="E1214" s="27">
        <v>39871.49</v>
      </c>
    </row>
    <row r="1215" customHeight="1" spans="2:5">
      <c r="B1215" s="24" t="s">
        <v>621</v>
      </c>
      <c r="C1215" s="25" t="s">
        <v>117</v>
      </c>
      <c r="D1215" s="26"/>
      <c r="E1215" s="27">
        <v>4150</v>
      </c>
    </row>
    <row r="1216" customHeight="1" spans="2:5">
      <c r="B1216" s="24" t="s">
        <v>622</v>
      </c>
      <c r="C1216" s="25" t="s">
        <v>121</v>
      </c>
      <c r="D1216" s="26"/>
      <c r="E1216" s="27">
        <v>1798.5</v>
      </c>
    </row>
    <row r="1217" customHeight="1" spans="2:5">
      <c r="B1217" s="24" t="s">
        <v>623</v>
      </c>
      <c r="C1217" s="25" t="s">
        <v>125</v>
      </c>
      <c r="D1217" s="26"/>
      <c r="E1217" s="27">
        <v>62.43</v>
      </c>
    </row>
    <row r="1218" customHeight="1" spans="2:5">
      <c r="B1218" s="24" t="s">
        <v>624</v>
      </c>
      <c r="C1218" s="25" t="s">
        <v>129</v>
      </c>
      <c r="D1218" s="26"/>
      <c r="E1218" s="27">
        <v>5769.04</v>
      </c>
    </row>
    <row r="1219" customHeight="1" spans="2:5">
      <c r="B1219" s="24" t="s">
        <v>625</v>
      </c>
      <c r="C1219" s="25" t="s">
        <v>131</v>
      </c>
      <c r="D1219" s="26"/>
      <c r="E1219" s="27">
        <v>2484</v>
      </c>
    </row>
    <row r="1220" customHeight="1" spans="2:5">
      <c r="B1220" s="24" t="s">
        <v>626</v>
      </c>
      <c r="C1220" s="25" t="s">
        <v>133</v>
      </c>
      <c r="D1220" s="26"/>
      <c r="E1220" s="27">
        <v>1511.69</v>
      </c>
    </row>
    <row r="1221" customHeight="1" spans="2:5">
      <c r="B1221" s="24" t="s">
        <v>628</v>
      </c>
      <c r="C1221" s="25" t="s">
        <v>143</v>
      </c>
      <c r="D1221" s="26"/>
      <c r="E1221" s="27">
        <v>5103.01</v>
      </c>
    </row>
    <row r="1222" customHeight="1" spans="2:5">
      <c r="B1222" s="24" t="s">
        <v>629</v>
      </c>
      <c r="C1222" s="25" t="s">
        <v>145</v>
      </c>
      <c r="D1222" s="26"/>
      <c r="E1222" s="27">
        <v>-24425.45</v>
      </c>
    </row>
    <row r="1223" customHeight="1" spans="2:5">
      <c r="B1223" s="24" t="s">
        <v>630</v>
      </c>
      <c r="C1223" s="25" t="s">
        <v>147</v>
      </c>
      <c r="D1223" s="26"/>
      <c r="E1223" s="27">
        <v>7668.37</v>
      </c>
    </row>
    <row r="1224" customHeight="1" spans="2:5">
      <c r="B1224" s="24" t="s">
        <v>631</v>
      </c>
      <c r="C1224" s="25" t="s">
        <v>149</v>
      </c>
      <c r="D1224" s="26"/>
      <c r="E1224" s="27">
        <v>5250.51</v>
      </c>
    </row>
    <row r="1225" customHeight="1" spans="2:5">
      <c r="B1225" s="24" t="s">
        <v>632</v>
      </c>
      <c r="C1225" s="25" t="s">
        <v>151</v>
      </c>
      <c r="D1225" s="26"/>
      <c r="E1225" s="27">
        <v>567</v>
      </c>
    </row>
    <row r="1226" customHeight="1" spans="2:5">
      <c r="B1226" s="24" t="s">
        <v>633</v>
      </c>
      <c r="C1226" s="25" t="s">
        <v>153</v>
      </c>
      <c r="D1226" s="26"/>
      <c r="E1226" s="27">
        <v>5276.94</v>
      </c>
    </row>
    <row r="1227" customHeight="1" spans="2:5">
      <c r="B1227" s="24" t="s">
        <v>635</v>
      </c>
      <c r="C1227" s="25" t="s">
        <v>249</v>
      </c>
      <c r="D1227" s="26"/>
      <c r="E1227" s="27">
        <v>2513.96</v>
      </c>
    </row>
    <row r="1228" customHeight="1" spans="2:5">
      <c r="B1228" s="24" t="s">
        <v>661</v>
      </c>
      <c r="C1228" s="25" t="s">
        <v>173</v>
      </c>
      <c r="D1228" s="26"/>
      <c r="E1228" s="27">
        <v>58401.69</v>
      </c>
    </row>
    <row r="1229" customHeight="1" spans="2:5">
      <c r="B1229" s="24" t="s">
        <v>637</v>
      </c>
      <c r="C1229" s="25" t="s">
        <v>346</v>
      </c>
      <c r="D1229" s="26"/>
      <c r="E1229" s="27">
        <v>575</v>
      </c>
    </row>
    <row r="1230" customHeight="1" spans="2:5">
      <c r="B1230" s="24" t="s">
        <v>638</v>
      </c>
      <c r="C1230" s="25" t="s">
        <v>165</v>
      </c>
      <c r="D1230" s="26"/>
      <c r="E1230" s="27">
        <v>748.46</v>
      </c>
    </row>
    <row r="1231" customHeight="1" spans="2:5">
      <c r="B1231" s="24" t="s">
        <v>639</v>
      </c>
      <c r="C1231" s="25" t="s">
        <v>167</v>
      </c>
      <c r="D1231" s="26"/>
      <c r="E1231" s="27">
        <v>239.25</v>
      </c>
    </row>
    <row r="1232" customHeight="1" spans="2:5">
      <c r="B1232" s="24" t="s">
        <v>640</v>
      </c>
      <c r="C1232" s="25" t="s">
        <v>175</v>
      </c>
      <c r="D1232" s="26"/>
      <c r="E1232" s="27">
        <v>11786.64</v>
      </c>
    </row>
    <row r="1233" customHeight="1" spans="2:5">
      <c r="B1233" s="24" t="s">
        <v>641</v>
      </c>
      <c r="C1233" s="25" t="s">
        <v>177</v>
      </c>
      <c r="D1233" s="26"/>
      <c r="E1233" s="27">
        <v>12083</v>
      </c>
    </row>
    <row r="1234" customHeight="1" spans="2:5">
      <c r="B1234" s="24" t="s">
        <v>642</v>
      </c>
      <c r="C1234" s="25" t="s">
        <v>260</v>
      </c>
      <c r="D1234" s="26"/>
      <c r="E1234" s="27">
        <v>4412.82</v>
      </c>
    </row>
    <row r="1235" customHeight="1" spans="2:5">
      <c r="B1235" s="24" t="s">
        <v>643</v>
      </c>
      <c r="C1235" s="25" t="s">
        <v>179</v>
      </c>
      <c r="D1235" s="26"/>
      <c r="E1235" s="27">
        <v>4960.3</v>
      </c>
    </row>
    <row r="1236" customHeight="1" spans="2:5">
      <c r="B1236" s="24" t="s">
        <v>644</v>
      </c>
      <c r="C1236" s="25" t="s">
        <v>645</v>
      </c>
      <c r="D1236" s="26"/>
      <c r="E1236" s="27">
        <v>181795.67</v>
      </c>
    </row>
    <row r="1237" customHeight="1" spans="2:5">
      <c r="B1237" s="24" t="s">
        <v>646</v>
      </c>
      <c r="C1237" s="25" t="s">
        <v>377</v>
      </c>
      <c r="D1237" s="26"/>
      <c r="E1237" s="27">
        <v>2356.48</v>
      </c>
    </row>
    <row r="1238" customHeight="1" spans="2:5">
      <c r="B1238" s="24" t="s">
        <v>647</v>
      </c>
      <c r="C1238" s="25" t="s">
        <v>275</v>
      </c>
      <c r="D1238" s="26"/>
      <c r="E1238" s="28">
        <v>97532.53</v>
      </c>
    </row>
    <row r="1239" customHeight="1" spans="2:5">
      <c r="B1239" s="24" t="s">
        <v>648</v>
      </c>
      <c r="C1239" s="25" t="s">
        <v>277</v>
      </c>
      <c r="D1239" s="26"/>
      <c r="E1239" s="27">
        <v>34170.3</v>
      </c>
    </row>
    <row r="1240" customHeight="1" spans="2:5">
      <c r="B1240" s="24" t="s">
        <v>649</v>
      </c>
      <c r="C1240" s="25" t="s">
        <v>40</v>
      </c>
      <c r="D1240" s="26"/>
      <c r="E1240" s="27">
        <v>-32884.39</v>
      </c>
    </row>
    <row r="1241" customHeight="1" spans="2:5">
      <c r="B1241" s="24" t="s">
        <v>650</v>
      </c>
      <c r="C1241" s="25" t="s">
        <v>42</v>
      </c>
      <c r="D1241" s="26"/>
      <c r="E1241" s="27">
        <v>-1285.91</v>
      </c>
    </row>
    <row r="1242" customHeight="1" spans="2:5">
      <c r="B1242" s="24" t="s">
        <v>651</v>
      </c>
      <c r="C1242" s="25" t="s">
        <v>69</v>
      </c>
      <c r="D1242" s="26"/>
      <c r="E1242" s="27">
        <v>-369671.72</v>
      </c>
    </row>
    <row r="1243" customHeight="1" spans="2:5">
      <c r="B1243" s="24" t="s">
        <v>652</v>
      </c>
      <c r="C1243" s="25" t="s">
        <v>107</v>
      </c>
      <c r="D1243" s="26"/>
      <c r="E1243" s="27">
        <v>209138.85</v>
      </c>
    </row>
    <row r="1244" customHeight="1" spans="2:5">
      <c r="B1244" s="24" t="s">
        <v>653</v>
      </c>
      <c r="C1244" s="25" t="s">
        <v>109</v>
      </c>
      <c r="D1244" s="26"/>
      <c r="E1244" s="27">
        <v>17798.52</v>
      </c>
    </row>
    <row r="1245" customHeight="1" spans="2:5">
      <c r="B1245" s="24" t="s">
        <v>654</v>
      </c>
      <c r="C1245" s="25" t="s">
        <v>111</v>
      </c>
      <c r="D1245" s="26"/>
      <c r="E1245" s="27">
        <v>21128.36</v>
      </c>
    </row>
    <row r="1246" customHeight="1" spans="2:5">
      <c r="B1246" s="24" t="s">
        <v>655</v>
      </c>
      <c r="C1246" s="25" t="s">
        <v>117</v>
      </c>
      <c r="D1246" s="26"/>
      <c r="E1246" s="27">
        <v>9340</v>
      </c>
    </row>
    <row r="1247" customHeight="1" spans="2:5">
      <c r="B1247" s="24" t="s">
        <v>656</v>
      </c>
      <c r="C1247" s="25" t="s">
        <v>121</v>
      </c>
      <c r="D1247" s="26"/>
      <c r="E1247" s="27">
        <v>11853.21</v>
      </c>
    </row>
    <row r="1248" customHeight="1" spans="2:5">
      <c r="B1248" s="24" t="s">
        <v>657</v>
      </c>
      <c r="C1248" s="25" t="s">
        <v>129</v>
      </c>
      <c r="D1248" s="26"/>
      <c r="E1248" s="27">
        <v>5073.3</v>
      </c>
    </row>
    <row r="1249" customHeight="1" spans="2:5">
      <c r="B1249" s="24" t="s">
        <v>658</v>
      </c>
      <c r="C1249" s="25" t="s">
        <v>309</v>
      </c>
      <c r="D1249" s="26"/>
      <c r="E1249" s="27">
        <v>380.85</v>
      </c>
    </row>
    <row r="1250" customHeight="1" spans="2:5">
      <c r="B1250" s="24" t="s">
        <v>659</v>
      </c>
      <c r="C1250" s="25" t="s">
        <v>458</v>
      </c>
      <c r="D1250" s="26"/>
      <c r="E1250" s="27">
        <v>401.5</v>
      </c>
    </row>
    <row r="1251" customHeight="1" spans="2:5">
      <c r="B1251" s="24" t="s">
        <v>660</v>
      </c>
      <c r="C1251" s="25" t="s">
        <v>286</v>
      </c>
      <c r="D1251" s="26"/>
      <c r="E1251" s="27">
        <v>7821.53</v>
      </c>
    </row>
    <row r="1252" customHeight="1" spans="2:5">
      <c r="B1252" s="24" t="s">
        <v>662</v>
      </c>
      <c r="C1252" s="25" t="s">
        <v>131</v>
      </c>
      <c r="D1252" s="26"/>
      <c r="E1252" s="27">
        <v>1656</v>
      </c>
    </row>
    <row r="1253" customHeight="1" spans="2:5">
      <c r="B1253" s="24" t="s">
        <v>663</v>
      </c>
      <c r="C1253" s="25" t="s">
        <v>137</v>
      </c>
      <c r="D1253" s="26"/>
      <c r="E1253" s="27">
        <v>100</v>
      </c>
    </row>
    <row r="1254" customHeight="1" spans="2:5">
      <c r="B1254" s="24" t="s">
        <v>664</v>
      </c>
      <c r="C1254" s="25" t="s">
        <v>143</v>
      </c>
      <c r="D1254" s="26"/>
      <c r="E1254" s="27">
        <v>4890.57</v>
      </c>
    </row>
    <row r="1255" customHeight="1" spans="2:5">
      <c r="B1255" s="24" t="s">
        <v>665</v>
      </c>
      <c r="C1255" s="25" t="s">
        <v>147</v>
      </c>
      <c r="D1255" s="26"/>
      <c r="E1255" s="27">
        <v>10031.93</v>
      </c>
    </row>
    <row r="1256" customHeight="1" spans="2:5">
      <c r="B1256" s="24" t="s">
        <v>666</v>
      </c>
      <c r="C1256" s="25" t="s">
        <v>153</v>
      </c>
      <c r="D1256" s="26"/>
      <c r="E1256" s="27">
        <v>3949.55</v>
      </c>
    </row>
    <row r="1257" customHeight="1" spans="2:5">
      <c r="B1257" s="24" t="s">
        <v>667</v>
      </c>
      <c r="C1257" s="25" t="s">
        <v>252</v>
      </c>
      <c r="D1257" s="26"/>
      <c r="E1257" s="27">
        <v>152</v>
      </c>
    </row>
    <row r="1258" customHeight="1" spans="2:5">
      <c r="B1258" s="24" t="s">
        <v>668</v>
      </c>
      <c r="C1258" s="25" t="s">
        <v>165</v>
      </c>
      <c r="D1258" s="26"/>
      <c r="E1258" s="27">
        <v>1049.88</v>
      </c>
    </row>
    <row r="1259" customHeight="1" spans="2:5">
      <c r="B1259" s="24" t="s">
        <v>669</v>
      </c>
      <c r="C1259" s="25" t="s">
        <v>167</v>
      </c>
      <c r="D1259" s="26"/>
      <c r="E1259" s="27">
        <v>246.5</v>
      </c>
    </row>
    <row r="1260" customHeight="1" spans="2:5">
      <c r="B1260" s="24" t="s">
        <v>670</v>
      </c>
      <c r="C1260" s="25" t="s">
        <v>175</v>
      </c>
      <c r="D1260" s="26"/>
      <c r="E1260" s="27">
        <v>8617.33</v>
      </c>
    </row>
    <row r="1261" customHeight="1" spans="2:5">
      <c r="B1261" s="24" t="s">
        <v>671</v>
      </c>
      <c r="C1261" s="25" t="s">
        <v>177</v>
      </c>
      <c r="D1261" s="26"/>
      <c r="E1261" s="27">
        <v>695</v>
      </c>
    </row>
    <row r="1262" customHeight="1" spans="2:5">
      <c r="B1262" s="24" t="s">
        <v>672</v>
      </c>
      <c r="C1262" s="25" t="s">
        <v>185</v>
      </c>
      <c r="D1262" s="26"/>
      <c r="E1262" s="27">
        <v>2184.16</v>
      </c>
    </row>
    <row r="1263" customHeight="1" spans="2:5">
      <c r="B1263" s="24" t="s">
        <v>673</v>
      </c>
      <c r="C1263" s="25" t="s">
        <v>187</v>
      </c>
      <c r="D1263" s="26"/>
      <c r="E1263" s="27">
        <v>314.91</v>
      </c>
    </row>
    <row r="1264" customHeight="1" spans="2:5">
      <c r="B1264" s="24" t="s">
        <v>674</v>
      </c>
      <c r="C1264" s="25" t="s">
        <v>417</v>
      </c>
      <c r="D1264" s="26"/>
      <c r="E1264" s="27">
        <v>278.4</v>
      </c>
    </row>
    <row r="1265" customHeight="1" spans="2:5">
      <c r="B1265" s="24" t="s">
        <v>675</v>
      </c>
      <c r="C1265" s="25" t="s">
        <v>197</v>
      </c>
      <c r="D1265" s="26"/>
      <c r="E1265" s="27">
        <v>1174.47</v>
      </c>
    </row>
    <row r="1266" customHeight="1" spans="2:5">
      <c r="B1266" s="24" t="s">
        <v>676</v>
      </c>
      <c r="C1266" s="25" t="s">
        <v>377</v>
      </c>
      <c r="D1266" s="26"/>
      <c r="E1266" s="27">
        <v>158.64</v>
      </c>
    </row>
    <row r="1267" customHeight="1" spans="2:5">
      <c r="B1267" s="24" t="s">
        <v>677</v>
      </c>
      <c r="C1267" s="25" t="s">
        <v>275</v>
      </c>
      <c r="D1267" s="26"/>
      <c r="E1267" s="28">
        <v>51236.26</v>
      </c>
    </row>
    <row r="1268" customHeight="1" spans="2:5">
      <c r="B1268" s="24" t="s">
        <v>678</v>
      </c>
      <c r="C1268" s="25" t="s">
        <v>40</v>
      </c>
      <c r="D1268" s="26"/>
      <c r="E1268" s="27">
        <v>-8.5</v>
      </c>
    </row>
    <row r="1269" customHeight="1" spans="2:5">
      <c r="B1269" s="24" t="s">
        <v>679</v>
      </c>
      <c r="C1269" s="25" t="s">
        <v>55</v>
      </c>
      <c r="D1269" s="26"/>
      <c r="E1269" s="27">
        <v>8.5</v>
      </c>
    </row>
    <row r="1270" customHeight="1" spans="2:5">
      <c r="B1270" s="24" t="s">
        <v>680</v>
      </c>
      <c r="C1270" s="25" t="s">
        <v>69</v>
      </c>
      <c r="D1270" s="26"/>
      <c r="E1270" s="27">
        <v>-159616.74</v>
      </c>
    </row>
    <row r="1271" customHeight="1" spans="2:5">
      <c r="B1271" s="24" t="s">
        <v>681</v>
      </c>
      <c r="C1271" s="25" t="s">
        <v>107</v>
      </c>
      <c r="D1271" s="26"/>
      <c r="E1271" s="27">
        <v>63012</v>
      </c>
    </row>
    <row r="1272" customHeight="1" spans="2:5">
      <c r="B1272" s="24" t="s">
        <v>682</v>
      </c>
      <c r="C1272" s="25" t="s">
        <v>109</v>
      </c>
      <c r="D1272" s="26"/>
      <c r="E1272" s="27">
        <v>5338.42</v>
      </c>
    </row>
    <row r="1273" customHeight="1" spans="2:5">
      <c r="B1273" s="24" t="s">
        <v>683</v>
      </c>
      <c r="C1273" s="25" t="s">
        <v>111</v>
      </c>
      <c r="D1273" s="26"/>
      <c r="E1273" s="27">
        <v>11439.91</v>
      </c>
    </row>
    <row r="1274" customHeight="1" spans="2:5">
      <c r="B1274" s="24" t="s">
        <v>684</v>
      </c>
      <c r="C1274" s="25" t="s">
        <v>113</v>
      </c>
      <c r="D1274" s="26"/>
      <c r="E1274" s="27">
        <v>215</v>
      </c>
    </row>
    <row r="1275" customHeight="1" spans="2:5">
      <c r="B1275" s="24" t="s">
        <v>685</v>
      </c>
      <c r="C1275" s="25" t="s">
        <v>117</v>
      </c>
      <c r="D1275" s="26"/>
      <c r="E1275" s="27">
        <v>1500</v>
      </c>
    </row>
    <row r="1276" customHeight="1" spans="2:5">
      <c r="B1276" s="24" t="s">
        <v>686</v>
      </c>
      <c r="C1276" s="25" t="s">
        <v>121</v>
      </c>
      <c r="D1276" s="26"/>
      <c r="E1276" s="27">
        <v>400</v>
      </c>
    </row>
    <row r="1277" customHeight="1" spans="2:5">
      <c r="B1277" s="24" t="s">
        <v>687</v>
      </c>
      <c r="C1277" s="25" t="s">
        <v>129</v>
      </c>
      <c r="D1277" s="26"/>
      <c r="E1277" s="27">
        <v>5750.62</v>
      </c>
    </row>
    <row r="1278" customHeight="1" spans="2:5">
      <c r="B1278" s="24" t="s">
        <v>688</v>
      </c>
      <c r="C1278" s="25" t="s">
        <v>133</v>
      </c>
      <c r="D1278" s="26"/>
      <c r="E1278" s="27">
        <v>6473.32</v>
      </c>
    </row>
    <row r="1279" customHeight="1" spans="2:5">
      <c r="B1279" s="24" t="s">
        <v>689</v>
      </c>
      <c r="C1279" s="25" t="s">
        <v>143</v>
      </c>
      <c r="D1279" s="26"/>
      <c r="E1279" s="27">
        <v>49040.06</v>
      </c>
    </row>
    <row r="1280" customHeight="1" spans="2:5">
      <c r="B1280" s="24" t="s">
        <v>690</v>
      </c>
      <c r="C1280" s="25" t="s">
        <v>153</v>
      </c>
      <c r="D1280" s="26"/>
      <c r="E1280" s="27">
        <v>2330.57</v>
      </c>
    </row>
    <row r="1281" customHeight="1" spans="2:5">
      <c r="B1281" s="24" t="s">
        <v>691</v>
      </c>
      <c r="C1281" s="25" t="s">
        <v>249</v>
      </c>
      <c r="D1281" s="26"/>
      <c r="E1281" s="27">
        <v>231.88</v>
      </c>
    </row>
    <row r="1282" customHeight="1" spans="2:5">
      <c r="B1282" s="24" t="s">
        <v>692</v>
      </c>
      <c r="C1282" s="25" t="s">
        <v>161</v>
      </c>
      <c r="D1282" s="26"/>
      <c r="E1282" s="27">
        <v>8887.8</v>
      </c>
    </row>
    <row r="1283" customHeight="1" spans="2:5">
      <c r="B1283" s="24" t="s">
        <v>693</v>
      </c>
      <c r="C1283" s="25" t="s">
        <v>177</v>
      </c>
      <c r="D1283" s="26"/>
      <c r="E1283" s="27">
        <v>1848.35</v>
      </c>
    </row>
    <row r="1284" customHeight="1" spans="2:5">
      <c r="B1284" s="24" t="s">
        <v>694</v>
      </c>
      <c r="C1284" s="25" t="s">
        <v>275</v>
      </c>
      <c r="D1284" s="26"/>
      <c r="E1284" s="28">
        <v>3148.81</v>
      </c>
    </row>
    <row r="1285" customHeight="1" spans="2:5">
      <c r="B1285" s="24" t="s">
        <v>695</v>
      </c>
      <c r="C1285" s="25" t="s">
        <v>277</v>
      </c>
      <c r="D1285" s="26"/>
      <c r="E1285" s="27">
        <v>53883.24</v>
      </c>
    </row>
    <row r="1286" customHeight="1" spans="2:5">
      <c r="B1286" s="24" t="s">
        <v>696</v>
      </c>
      <c r="C1286" s="25" t="s">
        <v>40</v>
      </c>
      <c r="D1286" s="26"/>
      <c r="E1286" s="27">
        <v>-52992.31</v>
      </c>
    </row>
    <row r="1287" customHeight="1" spans="2:5">
      <c r="B1287" s="24" t="s">
        <v>697</v>
      </c>
      <c r="C1287" s="25" t="s">
        <v>42</v>
      </c>
      <c r="D1287" s="26"/>
      <c r="E1287" s="27">
        <v>-890.93</v>
      </c>
    </row>
    <row r="1288" customHeight="1" spans="2:5">
      <c r="B1288" s="24" t="s">
        <v>698</v>
      </c>
      <c r="C1288" s="25" t="s">
        <v>69</v>
      </c>
      <c r="D1288" s="26"/>
      <c r="E1288" s="27">
        <v>-377712.5</v>
      </c>
    </row>
    <row r="1289" customHeight="1" spans="2:5">
      <c r="B1289" s="24" t="s">
        <v>699</v>
      </c>
      <c r="C1289" s="25" t="s">
        <v>107</v>
      </c>
      <c r="D1289" s="26"/>
      <c r="E1289" s="27">
        <v>141693.95</v>
      </c>
    </row>
    <row r="1290" customHeight="1" spans="2:5">
      <c r="B1290" s="24" t="s">
        <v>700</v>
      </c>
      <c r="C1290" s="25" t="s">
        <v>109</v>
      </c>
      <c r="D1290" s="26"/>
      <c r="E1290" s="27">
        <v>11767.71</v>
      </c>
    </row>
    <row r="1291" customHeight="1" spans="2:5">
      <c r="B1291" s="24" t="s">
        <v>701</v>
      </c>
      <c r="C1291" s="25" t="s">
        <v>111</v>
      </c>
      <c r="D1291" s="26"/>
      <c r="E1291" s="27">
        <v>15156.13</v>
      </c>
    </row>
    <row r="1292" customHeight="1" spans="2:5">
      <c r="B1292" s="24" t="s">
        <v>702</v>
      </c>
      <c r="C1292" s="25" t="s">
        <v>113</v>
      </c>
      <c r="D1292" s="26"/>
      <c r="E1292" s="27">
        <v>600</v>
      </c>
    </row>
    <row r="1293" customHeight="1" spans="2:5">
      <c r="B1293" s="24" t="s">
        <v>703</v>
      </c>
      <c r="C1293" s="25" t="s">
        <v>125</v>
      </c>
      <c r="D1293" s="26"/>
      <c r="E1293" s="27">
        <v>210</v>
      </c>
    </row>
    <row r="1294" customHeight="1" spans="2:5">
      <c r="B1294" s="24" t="s">
        <v>704</v>
      </c>
      <c r="C1294" s="25" t="s">
        <v>129</v>
      </c>
      <c r="D1294" s="26"/>
      <c r="E1294" s="27">
        <v>4600.27</v>
      </c>
    </row>
    <row r="1295" customHeight="1" spans="2:5">
      <c r="B1295" s="24" t="s">
        <v>705</v>
      </c>
      <c r="C1295" s="25" t="s">
        <v>131</v>
      </c>
      <c r="D1295" s="26"/>
      <c r="E1295" s="27">
        <v>552</v>
      </c>
    </row>
    <row r="1296" customHeight="1" spans="2:5">
      <c r="B1296" s="24" t="s">
        <v>706</v>
      </c>
      <c r="C1296" s="25" t="s">
        <v>137</v>
      </c>
      <c r="D1296" s="26"/>
      <c r="E1296" s="27">
        <v>37.98</v>
      </c>
    </row>
    <row r="1297" customHeight="1" spans="2:5">
      <c r="B1297" s="24" t="s">
        <v>707</v>
      </c>
      <c r="C1297" s="25" t="s">
        <v>141</v>
      </c>
      <c r="D1297" s="26"/>
      <c r="E1297" s="27">
        <v>6014.64</v>
      </c>
    </row>
    <row r="1298" customHeight="1" spans="2:5">
      <c r="B1298" s="24" t="s">
        <v>708</v>
      </c>
      <c r="C1298" s="25" t="s">
        <v>147</v>
      </c>
      <c r="D1298" s="26"/>
      <c r="E1298" s="27">
        <v>115.75</v>
      </c>
    </row>
    <row r="1299" customHeight="1" spans="2:5">
      <c r="B1299" s="24" t="s">
        <v>709</v>
      </c>
      <c r="C1299" s="25" t="s">
        <v>153</v>
      </c>
      <c r="D1299" s="26"/>
      <c r="E1299" s="27">
        <v>17616.08</v>
      </c>
    </row>
    <row r="1300" customHeight="1" spans="2:5">
      <c r="B1300" s="24" t="s">
        <v>710</v>
      </c>
      <c r="C1300" s="25" t="s">
        <v>165</v>
      </c>
      <c r="D1300" s="26"/>
      <c r="E1300" s="27">
        <v>4729.3</v>
      </c>
    </row>
    <row r="1301" customHeight="1" spans="2:5">
      <c r="B1301" s="24" t="s">
        <v>711</v>
      </c>
      <c r="C1301" s="25" t="s">
        <v>469</v>
      </c>
      <c r="D1301" s="26"/>
      <c r="E1301" s="27">
        <v>262.5</v>
      </c>
    </row>
    <row r="1302" customHeight="1" spans="2:5">
      <c r="B1302" s="24" t="s">
        <v>712</v>
      </c>
      <c r="C1302" s="25" t="s">
        <v>175</v>
      </c>
      <c r="D1302" s="26"/>
      <c r="E1302" s="27">
        <v>22269.16</v>
      </c>
    </row>
    <row r="1303" customHeight="1" spans="2:5">
      <c r="B1303" s="24" t="s">
        <v>713</v>
      </c>
      <c r="C1303" s="25" t="s">
        <v>177</v>
      </c>
      <c r="D1303" s="26"/>
      <c r="E1303" s="27">
        <v>4540.55</v>
      </c>
    </row>
    <row r="1304" customHeight="1" spans="2:5">
      <c r="B1304" s="24" t="s">
        <v>714</v>
      </c>
      <c r="C1304" s="25" t="s">
        <v>179</v>
      </c>
      <c r="D1304" s="26"/>
      <c r="E1304" s="27">
        <v>480.59</v>
      </c>
    </row>
    <row r="1305" customHeight="1" spans="2:5">
      <c r="B1305" s="24" t="s">
        <v>715</v>
      </c>
      <c r="C1305" s="25" t="s">
        <v>185</v>
      </c>
      <c r="D1305" s="26"/>
      <c r="E1305" s="27">
        <v>21.67</v>
      </c>
    </row>
    <row r="1306" customHeight="1" spans="2:5">
      <c r="B1306" s="24" t="s">
        <v>716</v>
      </c>
      <c r="C1306" s="25" t="s">
        <v>197</v>
      </c>
      <c r="D1306" s="26"/>
      <c r="E1306" s="27">
        <v>94693.51</v>
      </c>
    </row>
    <row r="1307" customHeight="1" spans="2:5">
      <c r="B1307" s="24" t="s">
        <v>717</v>
      </c>
      <c r="C1307" s="25" t="s">
        <v>275</v>
      </c>
      <c r="D1307" s="26"/>
      <c r="E1307" s="28">
        <v>52350.71</v>
      </c>
    </row>
    <row r="1308" customHeight="1" spans="2:5">
      <c r="B1308" s="24" t="s">
        <v>718</v>
      </c>
      <c r="C1308" s="25" t="s">
        <v>277</v>
      </c>
      <c r="D1308" s="26"/>
      <c r="E1308" s="27">
        <v>7667.88</v>
      </c>
    </row>
    <row r="1309" customHeight="1" spans="2:5">
      <c r="B1309" s="24" t="s">
        <v>719</v>
      </c>
      <c r="C1309" s="25" t="s">
        <v>40</v>
      </c>
      <c r="D1309" s="26"/>
      <c r="E1309" s="27">
        <v>-6181.97</v>
      </c>
    </row>
    <row r="1310" customHeight="1" spans="2:5">
      <c r="B1310" s="24" t="s">
        <v>720</v>
      </c>
      <c r="C1310" s="25" t="s">
        <v>42</v>
      </c>
      <c r="D1310" s="26"/>
      <c r="E1310" s="27">
        <v>-1485.91</v>
      </c>
    </row>
    <row r="1311" customHeight="1" spans="2:5">
      <c r="B1311" s="24" t="s">
        <v>721</v>
      </c>
      <c r="C1311" s="25" t="s">
        <v>69</v>
      </c>
      <c r="D1311" s="26"/>
      <c r="E1311" s="27">
        <v>-233039.55</v>
      </c>
    </row>
    <row r="1312" customHeight="1" spans="2:5">
      <c r="B1312" s="24" t="s">
        <v>722</v>
      </c>
      <c r="C1312" s="25" t="s">
        <v>107</v>
      </c>
      <c r="D1312" s="26"/>
      <c r="E1312" s="27">
        <v>120103.21</v>
      </c>
    </row>
    <row r="1313" customHeight="1" spans="2:5">
      <c r="B1313" s="24" t="s">
        <v>723</v>
      </c>
      <c r="C1313" s="25" t="s">
        <v>109</v>
      </c>
      <c r="D1313" s="26"/>
      <c r="E1313" s="27">
        <v>10136.01</v>
      </c>
    </row>
    <row r="1314" customHeight="1" spans="2:5">
      <c r="B1314" s="24" t="s">
        <v>724</v>
      </c>
      <c r="C1314" s="25" t="s">
        <v>111</v>
      </c>
      <c r="D1314" s="26"/>
      <c r="E1314" s="27">
        <v>11350.42</v>
      </c>
    </row>
    <row r="1315" customHeight="1" spans="2:5">
      <c r="B1315" s="24" t="s">
        <v>725</v>
      </c>
      <c r="C1315" s="25" t="s">
        <v>117</v>
      </c>
      <c r="D1315" s="26"/>
      <c r="E1315" s="27">
        <v>9800</v>
      </c>
    </row>
    <row r="1316" customHeight="1" spans="2:5">
      <c r="B1316" s="24" t="s">
        <v>726</v>
      </c>
      <c r="C1316" s="25" t="s">
        <v>129</v>
      </c>
      <c r="D1316" s="26"/>
      <c r="E1316" s="27">
        <v>4097.54</v>
      </c>
    </row>
    <row r="1317" customHeight="1" spans="2:5">
      <c r="B1317" s="24" t="s">
        <v>727</v>
      </c>
      <c r="C1317" s="25" t="s">
        <v>131</v>
      </c>
      <c r="D1317" s="26"/>
      <c r="E1317" s="27">
        <v>1581.33</v>
      </c>
    </row>
    <row r="1318" customHeight="1" spans="2:5">
      <c r="B1318" s="24" t="s">
        <v>728</v>
      </c>
      <c r="C1318" s="25" t="s">
        <v>139</v>
      </c>
      <c r="D1318" s="26"/>
      <c r="E1318" s="27">
        <v>154.8</v>
      </c>
    </row>
    <row r="1319" customHeight="1" spans="2:5">
      <c r="B1319" s="24" t="s">
        <v>729</v>
      </c>
      <c r="C1319" s="25" t="s">
        <v>147</v>
      </c>
      <c r="D1319" s="26"/>
      <c r="E1319" s="27">
        <v>810.99</v>
      </c>
    </row>
    <row r="1320" customHeight="1" spans="2:5">
      <c r="B1320" s="24" t="s">
        <v>730</v>
      </c>
      <c r="C1320" s="25" t="s">
        <v>153</v>
      </c>
      <c r="D1320" s="26"/>
      <c r="E1320" s="27">
        <v>2161.38</v>
      </c>
    </row>
    <row r="1321" customHeight="1" spans="2:5">
      <c r="B1321" s="24" t="s">
        <v>731</v>
      </c>
      <c r="C1321" s="25" t="s">
        <v>469</v>
      </c>
      <c r="D1321" s="26"/>
      <c r="E1321" s="27">
        <v>262.5</v>
      </c>
    </row>
    <row r="1322" customHeight="1" spans="2:5">
      <c r="B1322" s="24" t="s">
        <v>732</v>
      </c>
      <c r="C1322" s="25" t="s">
        <v>175</v>
      </c>
      <c r="D1322" s="26"/>
      <c r="E1322" s="27">
        <v>11363.65</v>
      </c>
    </row>
    <row r="1323" customHeight="1" spans="2:5">
      <c r="B1323" s="24" t="s">
        <v>733</v>
      </c>
      <c r="C1323" s="25" t="s">
        <v>177</v>
      </c>
      <c r="D1323" s="26"/>
      <c r="E1323" s="27">
        <v>6872.99</v>
      </c>
    </row>
    <row r="1324" customHeight="1" spans="2:5">
      <c r="B1324" s="24" t="s">
        <v>734</v>
      </c>
      <c r="C1324" s="25" t="s">
        <v>179</v>
      </c>
      <c r="D1324" s="26"/>
      <c r="E1324" s="27">
        <v>458.15</v>
      </c>
    </row>
    <row r="1325" customHeight="1" spans="2:5">
      <c r="B1325" s="24" t="s">
        <v>735</v>
      </c>
      <c r="C1325" s="25" t="s">
        <v>185</v>
      </c>
      <c r="D1325" s="26"/>
      <c r="E1325" s="27">
        <v>678.09</v>
      </c>
    </row>
    <row r="1326" customHeight="1" spans="2:5">
      <c r="B1326" s="24" t="s">
        <v>736</v>
      </c>
      <c r="C1326" s="25" t="s">
        <v>189</v>
      </c>
      <c r="D1326" s="26"/>
      <c r="E1326" s="27">
        <v>1400</v>
      </c>
    </row>
    <row r="1327" customHeight="1" spans="2:5">
      <c r="B1327" s="24" t="s">
        <v>737</v>
      </c>
      <c r="C1327" s="25" t="s">
        <v>197</v>
      </c>
      <c r="D1327" s="26"/>
      <c r="E1327" s="27">
        <v>19509.36</v>
      </c>
    </row>
    <row r="1328" customHeight="1" spans="2:5">
      <c r="B1328" s="24" t="s">
        <v>738</v>
      </c>
      <c r="C1328" s="25" t="s">
        <v>275</v>
      </c>
      <c r="D1328" s="26"/>
      <c r="E1328" s="28">
        <v>32299.13</v>
      </c>
    </row>
    <row r="1329" customHeight="1" spans="2:5">
      <c r="B1329" s="24" t="s">
        <v>739</v>
      </c>
      <c r="C1329" s="25" t="s">
        <v>277</v>
      </c>
      <c r="D1329" s="26"/>
      <c r="E1329" s="27">
        <v>6896.96</v>
      </c>
    </row>
    <row r="1330" customHeight="1" spans="2:5">
      <c r="B1330" s="24" t="s">
        <v>740</v>
      </c>
      <c r="C1330" s="25" t="s">
        <v>40</v>
      </c>
      <c r="D1330" s="26"/>
      <c r="E1330" s="27">
        <v>-6896.96</v>
      </c>
    </row>
    <row r="1331" customHeight="1" spans="2:5">
      <c r="B1331" s="24" t="s">
        <v>741</v>
      </c>
      <c r="C1331" s="25" t="s">
        <v>69</v>
      </c>
      <c r="D1331" s="26"/>
      <c r="E1331" s="27">
        <v>-138384.29</v>
      </c>
    </row>
    <row r="1332" customHeight="1" spans="2:5">
      <c r="B1332" s="24" t="s">
        <v>742</v>
      </c>
      <c r="C1332" s="25" t="s">
        <v>107</v>
      </c>
      <c r="D1332" s="26"/>
      <c r="E1332" s="27">
        <v>68520</v>
      </c>
    </row>
    <row r="1333" customHeight="1" spans="2:5">
      <c r="B1333" s="24" t="s">
        <v>743</v>
      </c>
      <c r="C1333" s="25" t="s">
        <v>109</v>
      </c>
      <c r="D1333" s="26"/>
      <c r="E1333" s="27">
        <v>5336.95</v>
      </c>
    </row>
    <row r="1334" customHeight="1" spans="2:5">
      <c r="B1334" s="24" t="s">
        <v>744</v>
      </c>
      <c r="C1334" s="25" t="s">
        <v>111</v>
      </c>
      <c r="D1334" s="26"/>
      <c r="E1334" s="27">
        <v>21382</v>
      </c>
    </row>
    <row r="1335" customHeight="1" spans="2:5">
      <c r="B1335" s="24" t="s">
        <v>745</v>
      </c>
      <c r="C1335" s="25" t="s">
        <v>129</v>
      </c>
      <c r="D1335" s="26"/>
      <c r="E1335" s="27">
        <v>4278.69</v>
      </c>
    </row>
    <row r="1336" customHeight="1" spans="2:5">
      <c r="B1336" s="24" t="s">
        <v>746</v>
      </c>
      <c r="C1336" s="25" t="s">
        <v>309</v>
      </c>
      <c r="D1336" s="26"/>
      <c r="E1336" s="27">
        <v>931.84</v>
      </c>
    </row>
    <row r="1337" customHeight="1" spans="2:5">
      <c r="B1337" s="24" t="s">
        <v>747</v>
      </c>
      <c r="C1337" s="25" t="s">
        <v>131</v>
      </c>
      <c r="D1337" s="26"/>
      <c r="E1337" s="27">
        <v>276</v>
      </c>
    </row>
    <row r="1338" customHeight="1" spans="2:5">
      <c r="B1338" s="24" t="s">
        <v>748</v>
      </c>
      <c r="C1338" s="25" t="s">
        <v>133</v>
      </c>
      <c r="D1338" s="26"/>
      <c r="E1338" s="27">
        <v>-3222.39</v>
      </c>
    </row>
    <row r="1339" customHeight="1" spans="2:5">
      <c r="B1339" s="24" t="s">
        <v>749</v>
      </c>
      <c r="C1339" s="25" t="s">
        <v>143</v>
      </c>
      <c r="D1339" s="26"/>
      <c r="E1339" s="27">
        <v>2065.87</v>
      </c>
    </row>
    <row r="1340" customHeight="1" spans="2:5">
      <c r="B1340" s="24" t="s">
        <v>750</v>
      </c>
      <c r="C1340" s="25" t="s">
        <v>147</v>
      </c>
      <c r="D1340" s="26"/>
      <c r="E1340" s="27">
        <v>438.37</v>
      </c>
    </row>
    <row r="1341" customHeight="1" spans="2:5">
      <c r="B1341" s="24" t="s">
        <v>751</v>
      </c>
      <c r="C1341" s="25" t="s">
        <v>153</v>
      </c>
      <c r="D1341" s="26"/>
      <c r="E1341" s="27">
        <v>3367.9</v>
      </c>
    </row>
    <row r="1342" customHeight="1" spans="2:5">
      <c r="B1342" s="24" t="s">
        <v>752</v>
      </c>
      <c r="C1342" s="25" t="s">
        <v>469</v>
      </c>
      <c r="D1342" s="26"/>
      <c r="E1342" s="27">
        <v>262.5</v>
      </c>
    </row>
    <row r="1343" customHeight="1" spans="2:5">
      <c r="B1343" s="24" t="s">
        <v>753</v>
      </c>
      <c r="C1343" s="25" t="s">
        <v>175</v>
      </c>
      <c r="D1343" s="26"/>
      <c r="E1343" s="27">
        <v>2517.43</v>
      </c>
    </row>
    <row r="1344" customHeight="1" spans="2:5">
      <c r="B1344" s="24" t="s">
        <v>754</v>
      </c>
      <c r="C1344" s="25" t="s">
        <v>179</v>
      </c>
      <c r="D1344" s="26"/>
      <c r="E1344" s="27">
        <v>684.33</v>
      </c>
    </row>
    <row r="1345" customHeight="1" spans="2:5">
      <c r="B1345" s="24" t="s">
        <v>755</v>
      </c>
      <c r="C1345" s="25" t="s">
        <v>208</v>
      </c>
      <c r="D1345" s="26"/>
      <c r="E1345" s="27">
        <v>513</v>
      </c>
    </row>
    <row r="1346" customHeight="1" spans="2:5">
      <c r="B1346" s="24" t="s">
        <v>756</v>
      </c>
      <c r="C1346" s="25" t="s">
        <v>216</v>
      </c>
      <c r="D1346" s="26"/>
      <c r="E1346" s="27">
        <v>2617.93</v>
      </c>
    </row>
    <row r="1347" customHeight="1" spans="2:5">
      <c r="B1347" s="24" t="s">
        <v>757</v>
      </c>
      <c r="C1347" s="25" t="s">
        <v>431</v>
      </c>
      <c r="D1347" s="26"/>
      <c r="E1347" s="27">
        <v>5047.33</v>
      </c>
    </row>
    <row r="1348" customHeight="1" spans="2:5">
      <c r="B1348" s="24" t="s">
        <v>758</v>
      </c>
      <c r="C1348" s="25" t="s">
        <v>224</v>
      </c>
      <c r="D1348" s="26"/>
      <c r="E1348" s="27">
        <v>6234.52</v>
      </c>
    </row>
    <row r="1349" customHeight="1" spans="2:5">
      <c r="B1349" s="24" t="s">
        <v>759</v>
      </c>
      <c r="C1349" s="25" t="s">
        <v>377</v>
      </c>
      <c r="D1349" s="26"/>
      <c r="E1349" s="27">
        <v>3232.22</v>
      </c>
    </row>
    <row r="1350" customHeight="1" spans="2:5">
      <c r="B1350" s="24" t="s">
        <v>760</v>
      </c>
      <c r="C1350" s="25" t="s">
        <v>275</v>
      </c>
      <c r="D1350" s="26"/>
      <c r="E1350" s="28">
        <v>13899.8</v>
      </c>
    </row>
    <row r="1351" customHeight="1" spans="2:5">
      <c r="B1351" s="24" t="s">
        <v>761</v>
      </c>
      <c r="C1351" s="25" t="s">
        <v>40</v>
      </c>
      <c r="D1351" s="26"/>
      <c r="E1351" s="27">
        <v>33437.91</v>
      </c>
    </row>
    <row r="1352" customHeight="1" spans="2:5">
      <c r="B1352" s="24" t="s">
        <v>762</v>
      </c>
      <c r="C1352" s="25" t="s">
        <v>228</v>
      </c>
      <c r="D1352" s="26"/>
      <c r="E1352" s="27">
        <v>-33417.91</v>
      </c>
    </row>
    <row r="1353" customHeight="1" spans="2:5">
      <c r="B1353" s="24" t="s">
        <v>763</v>
      </c>
      <c r="C1353" s="25" t="s">
        <v>63</v>
      </c>
      <c r="D1353" s="26"/>
      <c r="E1353" s="27">
        <v>-20</v>
      </c>
    </row>
    <row r="1354" customHeight="1" spans="2:5">
      <c r="B1354" s="24" t="s">
        <v>764</v>
      </c>
      <c r="C1354" s="25" t="s">
        <v>40</v>
      </c>
      <c r="D1354" s="26"/>
      <c r="E1354" s="27">
        <v>51883.32</v>
      </c>
    </row>
    <row r="1355" customHeight="1" spans="2:5">
      <c r="B1355" s="24" t="s">
        <v>765</v>
      </c>
      <c r="C1355" s="25" t="s">
        <v>228</v>
      </c>
      <c r="D1355" s="26"/>
      <c r="E1355" s="27">
        <v>-51883.32</v>
      </c>
    </row>
    <row r="1356" customHeight="1" spans="2:5">
      <c r="B1356" s="24" t="s">
        <v>766</v>
      </c>
      <c r="C1356" s="25" t="s">
        <v>69</v>
      </c>
      <c r="D1356" s="26"/>
      <c r="E1356" s="27">
        <v>-66617.32</v>
      </c>
    </row>
    <row r="1357" customHeight="1" spans="2:5">
      <c r="B1357" s="24" t="s">
        <v>767</v>
      </c>
      <c r="C1357" s="25" t="s">
        <v>117</v>
      </c>
      <c r="D1357" s="26"/>
      <c r="E1357" s="27">
        <v>7500</v>
      </c>
    </row>
    <row r="1358" customHeight="1" spans="2:5">
      <c r="B1358" s="24" t="s">
        <v>768</v>
      </c>
      <c r="C1358" s="25" t="s">
        <v>218</v>
      </c>
      <c r="D1358" s="26"/>
      <c r="E1358" s="28">
        <v>59117.32</v>
      </c>
    </row>
    <row r="1359" customHeight="1" spans="2:5">
      <c r="B1359" s="24" t="s">
        <v>769</v>
      </c>
      <c r="C1359" s="25" t="s">
        <v>40</v>
      </c>
      <c r="D1359" s="26"/>
      <c r="E1359" s="27">
        <v>1749.79</v>
      </c>
    </row>
    <row r="1360" customHeight="1" spans="2:5">
      <c r="B1360" s="24" t="s">
        <v>770</v>
      </c>
      <c r="C1360" s="25" t="s">
        <v>228</v>
      </c>
      <c r="D1360" s="26"/>
      <c r="E1360" s="27">
        <v>-1749.79</v>
      </c>
    </row>
    <row r="1361" customHeight="1" spans="2:5">
      <c r="B1361" s="24" t="s">
        <v>771</v>
      </c>
      <c r="C1361" s="25" t="s">
        <v>69</v>
      </c>
      <c r="D1361" s="26"/>
      <c r="E1361" s="27">
        <v>-17321.36</v>
      </c>
    </row>
    <row r="1362" customHeight="1" spans="2:5">
      <c r="B1362" s="24" t="s">
        <v>772</v>
      </c>
      <c r="C1362" s="25" t="s">
        <v>121</v>
      </c>
      <c r="D1362" s="26"/>
      <c r="E1362" s="28">
        <v>17321.36</v>
      </c>
    </row>
    <row r="1363" customHeight="1" spans="2:5">
      <c r="B1363" s="24" t="s">
        <v>775</v>
      </c>
      <c r="C1363" s="25" t="s">
        <v>277</v>
      </c>
      <c r="D1363" s="26"/>
      <c r="E1363" s="27">
        <v>16011.84</v>
      </c>
    </row>
    <row r="1364" customHeight="1" spans="2:5">
      <c r="B1364" s="24" t="s">
        <v>776</v>
      </c>
      <c r="C1364" s="25" t="s">
        <v>40</v>
      </c>
      <c r="D1364" s="26"/>
      <c r="E1364" s="27">
        <v>-15491.6</v>
      </c>
    </row>
    <row r="1365" customHeight="1" spans="2:5">
      <c r="B1365" s="24" t="s">
        <v>777</v>
      </c>
      <c r="C1365" s="25" t="s">
        <v>42</v>
      </c>
      <c r="D1365" s="26"/>
      <c r="E1365" s="27">
        <v>-520.24</v>
      </c>
    </row>
    <row r="1366" customHeight="1" spans="2:5">
      <c r="B1366" s="24" t="s">
        <v>778</v>
      </c>
      <c r="C1366" s="25" t="s">
        <v>69</v>
      </c>
      <c r="D1366" s="26"/>
      <c r="E1366" s="27">
        <v>-121441.84</v>
      </c>
    </row>
    <row r="1367" customHeight="1" spans="2:5">
      <c r="B1367" s="24" t="s">
        <v>779</v>
      </c>
      <c r="C1367" s="25" t="s">
        <v>107</v>
      </c>
      <c r="D1367" s="26"/>
      <c r="E1367" s="27">
        <v>81730.79</v>
      </c>
    </row>
    <row r="1368" customHeight="1" spans="2:5">
      <c r="B1368" s="24" t="s">
        <v>780</v>
      </c>
      <c r="C1368" s="25" t="s">
        <v>109</v>
      </c>
      <c r="D1368" s="26"/>
      <c r="E1368" s="27">
        <v>6358.27</v>
      </c>
    </row>
    <row r="1369" customHeight="1" spans="2:5">
      <c r="B1369" s="24" t="s">
        <v>781</v>
      </c>
      <c r="C1369" s="25" t="s">
        <v>111</v>
      </c>
      <c r="D1369" s="26"/>
      <c r="E1369" s="27">
        <v>13197.29</v>
      </c>
    </row>
    <row r="1370" customHeight="1" spans="2:5">
      <c r="B1370" s="24" t="s">
        <v>782</v>
      </c>
      <c r="C1370" s="25" t="s">
        <v>129</v>
      </c>
      <c r="D1370" s="26"/>
      <c r="E1370" s="27">
        <v>1500.55</v>
      </c>
    </row>
    <row r="1371" customHeight="1" spans="2:5">
      <c r="B1371" s="24" t="s">
        <v>783</v>
      </c>
      <c r="C1371" s="25" t="s">
        <v>131</v>
      </c>
      <c r="D1371" s="26"/>
      <c r="E1371" s="27">
        <v>276</v>
      </c>
    </row>
    <row r="1372" customHeight="1" spans="2:5">
      <c r="B1372" s="24" t="s">
        <v>784</v>
      </c>
      <c r="C1372" s="25" t="s">
        <v>153</v>
      </c>
      <c r="D1372" s="26"/>
      <c r="E1372" s="27">
        <v>1547.18</v>
      </c>
    </row>
    <row r="1373" customHeight="1" spans="2:5">
      <c r="B1373" s="24" t="s">
        <v>785</v>
      </c>
      <c r="C1373" s="25" t="s">
        <v>275</v>
      </c>
      <c r="D1373" s="26"/>
      <c r="E1373" s="28">
        <v>16831.76</v>
      </c>
    </row>
    <row r="1374" customHeight="1" spans="2:5">
      <c r="B1374" s="24" t="s">
        <v>786</v>
      </c>
      <c r="C1374" s="25" t="s">
        <v>40</v>
      </c>
      <c r="D1374" s="26"/>
      <c r="E1374" s="27">
        <v>298.64</v>
      </c>
    </row>
    <row r="1375" customHeight="1" spans="2:5">
      <c r="B1375" s="24" t="s">
        <v>787</v>
      </c>
      <c r="C1375" s="25" t="s">
        <v>228</v>
      </c>
      <c r="D1375" s="26"/>
      <c r="E1375" s="27">
        <v>-298.64</v>
      </c>
    </row>
    <row r="1376" customHeight="1" spans="2:5">
      <c r="B1376" s="24" t="s">
        <v>788</v>
      </c>
      <c r="C1376" s="25" t="s">
        <v>69</v>
      </c>
      <c r="D1376" s="26"/>
      <c r="E1376" s="27">
        <v>-35130.84</v>
      </c>
    </row>
    <row r="1377" customHeight="1" spans="2:5">
      <c r="B1377" s="24" t="s">
        <v>789</v>
      </c>
      <c r="C1377" s="25" t="s">
        <v>107</v>
      </c>
      <c r="D1377" s="26"/>
      <c r="E1377" s="27">
        <v>22803.26</v>
      </c>
    </row>
    <row r="1378" customHeight="1" spans="2:5">
      <c r="B1378" s="24" t="s">
        <v>790</v>
      </c>
      <c r="C1378" s="25" t="s">
        <v>109</v>
      </c>
      <c r="D1378" s="26"/>
      <c r="E1378" s="27">
        <v>2031.91</v>
      </c>
    </row>
    <row r="1379" customHeight="1" spans="2:5">
      <c r="B1379" s="24" t="s">
        <v>791</v>
      </c>
      <c r="C1379" s="25" t="s">
        <v>111</v>
      </c>
      <c r="D1379" s="26"/>
      <c r="E1379" s="27">
        <v>1472.78</v>
      </c>
    </row>
    <row r="1380" customHeight="1" spans="2:5">
      <c r="B1380" s="24" t="s">
        <v>792</v>
      </c>
      <c r="C1380" s="25" t="s">
        <v>153</v>
      </c>
      <c r="D1380" s="26"/>
      <c r="E1380" s="27">
        <v>3722.66</v>
      </c>
    </row>
    <row r="1381" customHeight="1" spans="2:5">
      <c r="B1381" s="24" t="s">
        <v>793</v>
      </c>
      <c r="C1381" s="25" t="s">
        <v>175</v>
      </c>
      <c r="D1381" s="26"/>
      <c r="E1381" s="27">
        <v>231.12</v>
      </c>
    </row>
    <row r="1382" customHeight="1" spans="2:5">
      <c r="B1382" s="24" t="s">
        <v>794</v>
      </c>
      <c r="C1382" s="25" t="s">
        <v>275</v>
      </c>
      <c r="D1382" s="26"/>
      <c r="E1382" s="28">
        <v>4869.11</v>
      </c>
    </row>
    <row r="1383" customHeight="1" spans="2:5">
      <c r="B1383" s="24" t="s">
        <v>795</v>
      </c>
      <c r="C1383" s="25" t="s">
        <v>277</v>
      </c>
      <c r="D1383" s="26"/>
      <c r="E1383" s="27">
        <v>-126.04</v>
      </c>
    </row>
    <row r="1384" customHeight="1" spans="2:5">
      <c r="B1384" s="24" t="s">
        <v>796</v>
      </c>
      <c r="C1384" s="25" t="s">
        <v>40</v>
      </c>
      <c r="D1384" s="26"/>
      <c r="E1384" s="27">
        <v>126.04</v>
      </c>
    </row>
    <row r="1385" customHeight="1" spans="2:5">
      <c r="B1385" s="24" t="s">
        <v>797</v>
      </c>
      <c r="C1385" s="25" t="s">
        <v>69</v>
      </c>
      <c r="D1385" s="26"/>
      <c r="E1385" s="27">
        <v>-158981.99</v>
      </c>
    </row>
    <row r="1386" customHeight="1" spans="2:5">
      <c r="B1386" s="24" t="s">
        <v>798</v>
      </c>
      <c r="C1386" s="25" t="s">
        <v>107</v>
      </c>
      <c r="D1386" s="26"/>
      <c r="E1386" s="27">
        <v>48819</v>
      </c>
    </row>
    <row r="1387" customHeight="1" spans="2:5">
      <c r="B1387" s="24" t="s">
        <v>799</v>
      </c>
      <c r="C1387" s="25" t="s">
        <v>109</v>
      </c>
      <c r="D1387" s="26"/>
      <c r="E1387" s="27">
        <v>4179.95</v>
      </c>
    </row>
    <row r="1388" customHeight="1" spans="2:5">
      <c r="B1388" s="24" t="s">
        <v>800</v>
      </c>
      <c r="C1388" s="25" t="s">
        <v>111</v>
      </c>
      <c r="D1388" s="26"/>
      <c r="E1388" s="27">
        <v>2853.98</v>
      </c>
    </row>
    <row r="1389" customHeight="1" spans="2:5">
      <c r="B1389" s="24" t="s">
        <v>801</v>
      </c>
      <c r="C1389" s="25" t="s">
        <v>129</v>
      </c>
      <c r="D1389" s="26"/>
      <c r="E1389" s="27">
        <v>904.3</v>
      </c>
    </row>
    <row r="1390" customHeight="1" spans="2:5">
      <c r="B1390" s="24" t="s">
        <v>802</v>
      </c>
      <c r="C1390" s="25" t="s">
        <v>131</v>
      </c>
      <c r="D1390" s="26"/>
      <c r="E1390" s="27">
        <v>276</v>
      </c>
    </row>
    <row r="1391" customHeight="1" spans="2:5">
      <c r="B1391" s="24" t="s">
        <v>804</v>
      </c>
      <c r="C1391" s="25" t="s">
        <v>175</v>
      </c>
      <c r="D1391" s="26"/>
      <c r="E1391" s="27">
        <v>1527.02</v>
      </c>
    </row>
    <row r="1392" customHeight="1" spans="2:5">
      <c r="B1392" s="24" t="s">
        <v>805</v>
      </c>
      <c r="C1392" s="25" t="s">
        <v>177</v>
      </c>
      <c r="D1392" s="26"/>
      <c r="E1392" s="27">
        <v>1200</v>
      </c>
    </row>
    <row r="1393" customHeight="1" spans="2:5">
      <c r="B1393" s="24" t="s">
        <v>830</v>
      </c>
      <c r="C1393" s="25" t="s">
        <v>218</v>
      </c>
      <c r="D1393" s="26"/>
      <c r="E1393" s="27">
        <v>89294</v>
      </c>
    </row>
    <row r="1394" customHeight="1" spans="2:5">
      <c r="B1394" s="24" t="s">
        <v>806</v>
      </c>
      <c r="C1394" s="25" t="s">
        <v>275</v>
      </c>
      <c r="D1394" s="26"/>
      <c r="E1394" s="28">
        <v>9927.74</v>
      </c>
    </row>
    <row r="1395" customHeight="1" spans="2:5">
      <c r="B1395" s="24" t="s">
        <v>807</v>
      </c>
      <c r="C1395" s="25" t="s">
        <v>40</v>
      </c>
      <c r="D1395" s="26"/>
      <c r="E1395" s="27">
        <v>11192.54</v>
      </c>
    </row>
    <row r="1396" customHeight="1" spans="2:5">
      <c r="B1396" s="24" t="s">
        <v>808</v>
      </c>
      <c r="C1396" s="25" t="s">
        <v>228</v>
      </c>
      <c r="D1396" s="26"/>
      <c r="E1396" s="27">
        <v>-11192.54</v>
      </c>
    </row>
    <row r="1397" customHeight="1" spans="2:5">
      <c r="B1397" s="24" t="s">
        <v>809</v>
      </c>
      <c r="C1397" s="25" t="s">
        <v>69</v>
      </c>
      <c r="D1397" s="26"/>
      <c r="E1397" s="27">
        <v>-70753.46</v>
      </c>
    </row>
    <row r="1398" customHeight="1" spans="2:5">
      <c r="B1398" s="24" t="s">
        <v>810</v>
      </c>
      <c r="C1398" s="25" t="s">
        <v>107</v>
      </c>
      <c r="D1398" s="26"/>
      <c r="E1398" s="27">
        <v>60745</v>
      </c>
    </row>
    <row r="1399" customHeight="1" spans="2:5">
      <c r="B1399" s="24" t="s">
        <v>811</v>
      </c>
      <c r="C1399" s="25" t="s">
        <v>109</v>
      </c>
      <c r="D1399" s="26"/>
      <c r="E1399" s="27">
        <v>5706.72</v>
      </c>
    </row>
    <row r="1400" customHeight="1" spans="2:5">
      <c r="B1400" s="24" t="s">
        <v>812</v>
      </c>
      <c r="C1400" s="25" t="s">
        <v>125</v>
      </c>
      <c r="D1400" s="26"/>
      <c r="E1400" s="27">
        <v>7.43</v>
      </c>
    </row>
    <row r="1401" customHeight="1" spans="2:5">
      <c r="B1401" s="24" t="s">
        <v>813</v>
      </c>
      <c r="C1401" s="25" t="s">
        <v>129</v>
      </c>
      <c r="D1401" s="26"/>
      <c r="E1401" s="27">
        <v>1065.69</v>
      </c>
    </row>
    <row r="1402" customHeight="1" spans="2:5">
      <c r="B1402" s="24" t="s">
        <v>814</v>
      </c>
      <c r="C1402" s="25" t="s">
        <v>171</v>
      </c>
      <c r="D1402" s="26"/>
      <c r="E1402" s="27">
        <v>1643.05</v>
      </c>
    </row>
    <row r="1403" customHeight="1" spans="2:5">
      <c r="B1403" s="24" t="s">
        <v>815</v>
      </c>
      <c r="C1403" s="25" t="s">
        <v>175</v>
      </c>
      <c r="D1403" s="26"/>
      <c r="E1403" s="28">
        <v>1585.57</v>
      </c>
    </row>
    <row r="1404" customHeight="1" spans="2:5">
      <c r="B1404" s="24" t="s">
        <v>816</v>
      </c>
      <c r="C1404" s="25" t="s">
        <v>40</v>
      </c>
      <c r="D1404" s="26"/>
      <c r="E1404" s="27">
        <v>18828.48</v>
      </c>
    </row>
    <row r="1405" customHeight="1" spans="2:5">
      <c r="B1405" s="24" t="s">
        <v>817</v>
      </c>
      <c r="C1405" s="25" t="s">
        <v>228</v>
      </c>
      <c r="D1405" s="26"/>
      <c r="E1405" s="27">
        <v>-18828.48</v>
      </c>
    </row>
    <row r="1406" customHeight="1" spans="2:5">
      <c r="B1406" s="24" t="s">
        <v>818</v>
      </c>
      <c r="C1406" s="25" t="s">
        <v>69</v>
      </c>
      <c r="D1406" s="26"/>
      <c r="E1406" s="27">
        <v>-13709.52</v>
      </c>
    </row>
    <row r="1407" customHeight="1" spans="2:5">
      <c r="B1407" s="24" t="s">
        <v>819</v>
      </c>
      <c r="C1407" s="25" t="s">
        <v>113</v>
      </c>
      <c r="D1407" s="26"/>
      <c r="E1407" s="27">
        <v>12690.5</v>
      </c>
    </row>
    <row r="1408" customHeight="1" spans="2:5">
      <c r="B1408" s="24" t="s">
        <v>820</v>
      </c>
      <c r="C1408" s="25" t="s">
        <v>175</v>
      </c>
      <c r="D1408" s="26"/>
      <c r="E1408" s="27">
        <v>543.28</v>
      </c>
    </row>
    <row r="1409" customHeight="1" spans="2:5">
      <c r="B1409" s="24" t="s">
        <v>821</v>
      </c>
      <c r="C1409" s="25" t="s">
        <v>179</v>
      </c>
      <c r="D1409" s="26"/>
      <c r="E1409" s="27">
        <v>136.47</v>
      </c>
    </row>
    <row r="1410" customHeight="1" spans="2:5">
      <c r="B1410" s="24" t="s">
        <v>822</v>
      </c>
      <c r="C1410" s="25" t="s">
        <v>197</v>
      </c>
      <c r="D1410" s="26"/>
      <c r="E1410" s="28">
        <v>339.27</v>
      </c>
    </row>
    <row r="1411" customHeight="1" spans="2:5">
      <c r="B1411" s="24" t="s">
        <v>823</v>
      </c>
      <c r="C1411" s="25" t="s">
        <v>40</v>
      </c>
      <c r="D1411" s="26"/>
      <c r="E1411" s="27">
        <v>2656.76</v>
      </c>
    </row>
    <row r="1412" customHeight="1" spans="2:5">
      <c r="B1412" s="24" t="s">
        <v>824</v>
      </c>
      <c r="C1412" s="25" t="s">
        <v>228</v>
      </c>
      <c r="D1412" s="26"/>
      <c r="E1412" s="27">
        <v>-2656.76</v>
      </c>
    </row>
    <row r="1413" customHeight="1" spans="2:5">
      <c r="B1413" s="24" t="s">
        <v>825</v>
      </c>
      <c r="C1413" s="25" t="s">
        <v>69</v>
      </c>
      <c r="D1413" s="26"/>
      <c r="E1413" s="27">
        <v>-37343.24</v>
      </c>
    </row>
    <row r="1414" customHeight="1" spans="2:5">
      <c r="B1414" s="24" t="s">
        <v>826</v>
      </c>
      <c r="C1414" s="25" t="s">
        <v>117</v>
      </c>
      <c r="D1414" s="26"/>
      <c r="E1414" s="27">
        <v>3000</v>
      </c>
    </row>
    <row r="1415" customHeight="1" spans="2:5">
      <c r="B1415" s="24" t="s">
        <v>827</v>
      </c>
      <c r="C1415" s="25" t="s">
        <v>129</v>
      </c>
      <c r="D1415" s="26"/>
      <c r="E1415" s="27">
        <v>26438.46</v>
      </c>
    </row>
    <row r="1416" customHeight="1" spans="2:5">
      <c r="B1416" s="24" t="s">
        <v>828</v>
      </c>
      <c r="C1416" s="25" t="s">
        <v>131</v>
      </c>
      <c r="D1416" s="26"/>
      <c r="E1416" s="27">
        <v>2636.73</v>
      </c>
    </row>
    <row r="1417" customHeight="1" spans="2:5">
      <c r="B1417" s="24" t="s">
        <v>829</v>
      </c>
      <c r="C1417" s="25" t="s">
        <v>133</v>
      </c>
      <c r="D1417" s="26"/>
      <c r="E1417" s="27">
        <v>115.05</v>
      </c>
    </row>
    <row r="1418" customHeight="1" spans="2:5">
      <c r="B1418" s="24" t="s">
        <v>857</v>
      </c>
      <c r="C1418" s="25" t="s">
        <v>161</v>
      </c>
      <c r="D1418" s="26"/>
      <c r="E1418" s="27">
        <v>2653</v>
      </c>
    </row>
    <row r="1419" customHeight="1" spans="2:5">
      <c r="B1419" s="24" t="s">
        <v>831</v>
      </c>
      <c r="C1419" s="25" t="s">
        <v>185</v>
      </c>
      <c r="D1419" s="26"/>
      <c r="E1419" s="28">
        <v>2500</v>
      </c>
    </row>
    <row r="1420" customHeight="1" spans="2:5">
      <c r="B1420" s="24" t="s">
        <v>832</v>
      </c>
      <c r="C1420" s="25" t="s">
        <v>277</v>
      </c>
      <c r="D1420" s="26"/>
      <c r="E1420" s="27">
        <v>28221.4</v>
      </c>
    </row>
    <row r="1421" customHeight="1" spans="2:5">
      <c r="B1421" s="24" t="s">
        <v>833</v>
      </c>
      <c r="C1421" s="25" t="s">
        <v>40</v>
      </c>
      <c r="D1421" s="26"/>
      <c r="E1421" s="27">
        <v>-28221.4</v>
      </c>
    </row>
    <row r="1422" customHeight="1" spans="2:5">
      <c r="B1422" s="24" t="s">
        <v>834</v>
      </c>
      <c r="C1422" s="25" t="s">
        <v>69</v>
      </c>
      <c r="D1422" s="26"/>
      <c r="E1422" s="27">
        <v>-28221.4</v>
      </c>
    </row>
    <row r="1423" customHeight="1" spans="2:5">
      <c r="B1423" s="24" t="s">
        <v>835</v>
      </c>
      <c r="C1423" s="25" t="s">
        <v>185</v>
      </c>
      <c r="D1423" s="26"/>
      <c r="E1423" s="27">
        <v>23387.2</v>
      </c>
    </row>
    <row r="1424" customHeight="1" spans="2:5">
      <c r="B1424" s="24" t="s">
        <v>836</v>
      </c>
      <c r="C1424" s="25" t="s">
        <v>421</v>
      </c>
      <c r="D1424" s="26"/>
      <c r="E1424" s="27">
        <v>4211.88</v>
      </c>
    </row>
    <row r="1425" customHeight="1" spans="2:5">
      <c r="B1425" s="24" t="s">
        <v>837</v>
      </c>
      <c r="C1425" s="25" t="s">
        <v>377</v>
      </c>
      <c r="D1425" s="26"/>
      <c r="E1425" s="28">
        <v>622.32</v>
      </c>
    </row>
    <row r="1426" customHeight="1" spans="2:5">
      <c r="B1426" s="24" t="s">
        <v>838</v>
      </c>
      <c r="C1426" s="25" t="s">
        <v>40</v>
      </c>
      <c r="D1426" s="26"/>
      <c r="E1426" s="27">
        <v>8806457.61</v>
      </c>
    </row>
    <row r="1427" customHeight="1" spans="2:5">
      <c r="B1427" s="24" t="s">
        <v>839</v>
      </c>
      <c r="C1427" s="25" t="s">
        <v>42</v>
      </c>
      <c r="D1427" s="26"/>
      <c r="E1427" s="27">
        <v>-86744.29</v>
      </c>
    </row>
    <row r="1428" customHeight="1" spans="2:5">
      <c r="B1428" s="24" t="s">
        <v>840</v>
      </c>
      <c r="C1428" s="25" t="s">
        <v>63</v>
      </c>
      <c r="D1428" s="26"/>
      <c r="E1428" s="27">
        <v>-6007075.87</v>
      </c>
    </row>
    <row r="1429" customHeight="1" spans="2:5">
      <c r="B1429" s="24" t="s">
        <v>841</v>
      </c>
      <c r="C1429" s="25" t="s">
        <v>842</v>
      </c>
      <c r="D1429" s="26"/>
      <c r="E1429" s="27">
        <v>-6311004.23</v>
      </c>
    </row>
    <row r="1430" customHeight="1" spans="2:5">
      <c r="B1430" s="24" t="s">
        <v>871</v>
      </c>
      <c r="C1430" s="25" t="s">
        <v>115</v>
      </c>
      <c r="D1430" s="26"/>
      <c r="E1430" s="27">
        <v>-47965.29</v>
      </c>
    </row>
    <row r="1431" customHeight="1" spans="2:5">
      <c r="B1431" s="24" t="s">
        <v>843</v>
      </c>
      <c r="C1431" s="25" t="s">
        <v>107</v>
      </c>
      <c r="D1431" s="26"/>
      <c r="E1431" s="27">
        <v>6060</v>
      </c>
    </row>
    <row r="1432" customHeight="1" spans="2:5">
      <c r="B1432" s="24" t="s">
        <v>844</v>
      </c>
      <c r="C1432" s="25" t="s">
        <v>109</v>
      </c>
      <c r="D1432" s="26"/>
      <c r="E1432" s="27">
        <v>510.97</v>
      </c>
    </row>
    <row r="1433" customHeight="1" spans="2:5">
      <c r="B1433" s="24" t="s">
        <v>845</v>
      </c>
      <c r="C1433" s="25" t="s">
        <v>111</v>
      </c>
      <c r="D1433" s="26"/>
      <c r="E1433" s="27">
        <v>230.02</v>
      </c>
    </row>
    <row r="1434" customHeight="1" spans="2:5">
      <c r="B1434" s="24" t="s">
        <v>846</v>
      </c>
      <c r="C1434" s="25" t="s">
        <v>113</v>
      </c>
      <c r="D1434" s="26"/>
      <c r="E1434" s="27">
        <v>2580</v>
      </c>
    </row>
    <row r="1435" customHeight="1" spans="2:5">
      <c r="B1435" s="24" t="s">
        <v>847</v>
      </c>
      <c r="C1435" s="25" t="s">
        <v>117</v>
      </c>
      <c r="D1435" s="26"/>
      <c r="E1435" s="27">
        <v>57486.48</v>
      </c>
    </row>
    <row r="1436" customHeight="1" spans="2:5">
      <c r="B1436" s="24" t="s">
        <v>848</v>
      </c>
      <c r="C1436" s="25" t="s">
        <v>129</v>
      </c>
      <c r="D1436" s="26"/>
      <c r="E1436" s="27">
        <v>20476.43</v>
      </c>
    </row>
    <row r="1437" customHeight="1" spans="2:5">
      <c r="B1437" s="24" t="s">
        <v>849</v>
      </c>
      <c r="C1437" s="25" t="s">
        <v>309</v>
      </c>
      <c r="D1437" s="26"/>
      <c r="E1437" s="27">
        <v>42.19</v>
      </c>
    </row>
    <row r="1438" customHeight="1" spans="2:5">
      <c r="B1438" s="24" t="s">
        <v>850</v>
      </c>
      <c r="C1438" s="25" t="s">
        <v>133</v>
      </c>
      <c r="D1438" s="26"/>
      <c r="E1438" s="27">
        <v>1965.85</v>
      </c>
    </row>
    <row r="1439" customHeight="1" spans="2:5">
      <c r="B1439" s="24" t="s">
        <v>851</v>
      </c>
      <c r="C1439" s="25" t="s">
        <v>137</v>
      </c>
      <c r="D1439" s="26"/>
      <c r="E1439" s="27">
        <v>515</v>
      </c>
    </row>
    <row r="1440" customHeight="1" spans="2:5">
      <c r="B1440" s="24" t="s">
        <v>852</v>
      </c>
      <c r="C1440" s="25" t="s">
        <v>143</v>
      </c>
      <c r="D1440" s="26"/>
      <c r="E1440" s="27">
        <v>408.46</v>
      </c>
    </row>
    <row r="1441" customHeight="1" spans="2:5">
      <c r="B1441" s="24" t="s">
        <v>853</v>
      </c>
      <c r="C1441" s="25" t="s">
        <v>145</v>
      </c>
      <c r="D1441" s="26"/>
      <c r="E1441" s="27">
        <v>440</v>
      </c>
    </row>
    <row r="1442" customHeight="1" spans="2:5">
      <c r="B1442" s="24" t="s">
        <v>854</v>
      </c>
      <c r="C1442" s="25" t="s">
        <v>147</v>
      </c>
      <c r="D1442" s="26"/>
      <c r="E1442" s="27">
        <v>9294.72</v>
      </c>
    </row>
    <row r="1443" customHeight="1" spans="2:5">
      <c r="B1443" s="24" t="s">
        <v>855</v>
      </c>
      <c r="C1443" s="25" t="s">
        <v>153</v>
      </c>
      <c r="D1443" s="26"/>
      <c r="E1443" s="27">
        <v>5037.51</v>
      </c>
    </row>
    <row r="1444" customHeight="1" spans="2:5">
      <c r="B1444" s="24" t="s">
        <v>856</v>
      </c>
      <c r="C1444" s="25" t="s">
        <v>155</v>
      </c>
      <c r="D1444" s="26"/>
      <c r="E1444" s="27">
        <v>1687.88</v>
      </c>
    </row>
    <row r="1445" customHeight="1" spans="2:5">
      <c r="B1445" s="24" t="s">
        <v>858</v>
      </c>
      <c r="C1445" s="25" t="s">
        <v>159</v>
      </c>
      <c r="D1445" s="26"/>
      <c r="E1445" s="27">
        <v>82349.91</v>
      </c>
    </row>
    <row r="1446" customHeight="1" spans="2:5">
      <c r="B1446" s="24" t="s">
        <v>890</v>
      </c>
      <c r="C1446" s="25" t="s">
        <v>173</v>
      </c>
      <c r="D1446" s="26"/>
      <c r="E1446" s="27">
        <v>1919355.49</v>
      </c>
    </row>
    <row r="1447" customHeight="1" spans="2:5">
      <c r="B1447" s="24" t="s">
        <v>859</v>
      </c>
      <c r="C1447" s="25" t="s">
        <v>161</v>
      </c>
      <c r="D1447" s="26"/>
      <c r="E1447" s="27">
        <v>48386.12</v>
      </c>
    </row>
    <row r="1448" customHeight="1" spans="2:5">
      <c r="B1448" s="24" t="s">
        <v>860</v>
      </c>
      <c r="C1448" s="25" t="s">
        <v>252</v>
      </c>
      <c r="D1448" s="26"/>
      <c r="E1448" s="27">
        <v>11556.45</v>
      </c>
    </row>
    <row r="1449" customHeight="1" spans="2:5">
      <c r="B1449" s="24" t="s">
        <v>861</v>
      </c>
      <c r="C1449" s="25" t="s">
        <v>165</v>
      </c>
      <c r="D1449" s="26"/>
      <c r="E1449" s="27">
        <v>3607.68</v>
      </c>
    </row>
    <row r="1450" customHeight="1" spans="2:5">
      <c r="B1450" s="24" t="s">
        <v>863</v>
      </c>
      <c r="C1450" s="25" t="s">
        <v>169</v>
      </c>
      <c r="D1450" s="26"/>
      <c r="E1450" s="27">
        <v>2700</v>
      </c>
    </row>
    <row r="1451" customHeight="1" spans="2:5">
      <c r="B1451" s="24" t="s">
        <v>864</v>
      </c>
      <c r="C1451" s="25" t="s">
        <v>175</v>
      </c>
      <c r="D1451" s="26"/>
      <c r="E1451" s="27">
        <v>30758.1</v>
      </c>
    </row>
    <row r="1452" customHeight="1" spans="2:5">
      <c r="B1452" s="24" t="s">
        <v>865</v>
      </c>
      <c r="C1452" s="25" t="s">
        <v>177</v>
      </c>
      <c r="D1452" s="26"/>
      <c r="E1452" s="27">
        <v>16730</v>
      </c>
    </row>
    <row r="1453" customHeight="1" spans="2:5">
      <c r="B1453" s="24" t="s">
        <v>866</v>
      </c>
      <c r="C1453" s="25" t="s">
        <v>260</v>
      </c>
      <c r="D1453" s="26"/>
      <c r="E1453" s="27">
        <v>1687.24</v>
      </c>
    </row>
    <row r="1454" customHeight="1" spans="2:5">
      <c r="B1454" s="24" t="s">
        <v>867</v>
      </c>
      <c r="C1454" s="25" t="s">
        <v>179</v>
      </c>
      <c r="D1454" s="26"/>
      <c r="E1454" s="27">
        <v>35535.16</v>
      </c>
    </row>
    <row r="1455" customHeight="1" spans="2:5">
      <c r="B1455" s="24" t="s">
        <v>868</v>
      </c>
      <c r="C1455" s="25" t="s">
        <v>869</v>
      </c>
      <c r="D1455" s="26"/>
      <c r="E1455" s="27">
        <v>2400</v>
      </c>
    </row>
    <row r="1456" customHeight="1" spans="2:5">
      <c r="B1456" s="24" t="s">
        <v>870</v>
      </c>
      <c r="C1456" s="25" t="s">
        <v>185</v>
      </c>
      <c r="D1456" s="26"/>
      <c r="E1456" s="27">
        <v>21274.13</v>
      </c>
    </row>
    <row r="1457" customHeight="1" spans="2:5">
      <c r="B1457" s="24" t="s">
        <v>872</v>
      </c>
      <c r="C1457" s="25" t="s">
        <v>187</v>
      </c>
      <c r="D1457" s="26"/>
      <c r="E1457" s="27">
        <v>31821.51</v>
      </c>
    </row>
    <row r="1458" customHeight="1" spans="2:5">
      <c r="B1458" s="24" t="s">
        <v>873</v>
      </c>
      <c r="C1458" s="25" t="s">
        <v>189</v>
      </c>
      <c r="D1458" s="26"/>
      <c r="E1458" s="27">
        <v>180714.35</v>
      </c>
    </row>
    <row r="1459" customHeight="1" spans="2:5">
      <c r="B1459" s="24" t="s">
        <v>874</v>
      </c>
      <c r="C1459" s="25" t="s">
        <v>191</v>
      </c>
      <c r="D1459" s="26"/>
      <c r="E1459" s="27">
        <v>13932.72</v>
      </c>
    </row>
    <row r="1460" customHeight="1" spans="2:5">
      <c r="B1460" s="24" t="s">
        <v>875</v>
      </c>
      <c r="C1460" s="25" t="s">
        <v>511</v>
      </c>
      <c r="D1460" s="26"/>
      <c r="E1460" s="27">
        <v>193</v>
      </c>
    </row>
    <row r="1461" customHeight="1" spans="2:5">
      <c r="B1461" s="24" t="s">
        <v>876</v>
      </c>
      <c r="C1461" s="25" t="s">
        <v>193</v>
      </c>
      <c r="D1461" s="26"/>
      <c r="E1461" s="27">
        <v>3715</v>
      </c>
    </row>
    <row r="1462" customHeight="1" spans="2:5">
      <c r="B1462" s="24" t="s">
        <v>877</v>
      </c>
      <c r="C1462" s="25" t="s">
        <v>878</v>
      </c>
      <c r="D1462" s="26"/>
      <c r="E1462" s="27">
        <v>7314.4</v>
      </c>
    </row>
    <row r="1463" customHeight="1" spans="2:5">
      <c r="B1463" s="24" t="s">
        <v>879</v>
      </c>
      <c r="C1463" s="25" t="s">
        <v>197</v>
      </c>
      <c r="D1463" s="26"/>
      <c r="E1463" s="27">
        <v>118193.66</v>
      </c>
    </row>
    <row r="1464" customHeight="1" spans="2:5">
      <c r="B1464" s="24" t="s">
        <v>880</v>
      </c>
      <c r="C1464" s="25" t="s">
        <v>200</v>
      </c>
      <c r="D1464" s="26"/>
      <c r="E1464" s="27">
        <v>30667.32</v>
      </c>
    </row>
    <row r="1465" customHeight="1" spans="2:5">
      <c r="B1465" s="24" t="s">
        <v>881</v>
      </c>
      <c r="C1465" s="25" t="s">
        <v>270</v>
      </c>
      <c r="D1465" s="26"/>
      <c r="E1465" s="27">
        <v>41176.46</v>
      </c>
    </row>
    <row r="1466" customHeight="1" spans="2:5">
      <c r="B1466" s="24" t="s">
        <v>882</v>
      </c>
      <c r="C1466" s="25" t="s">
        <v>202</v>
      </c>
      <c r="D1466" s="26"/>
      <c r="E1466" s="27">
        <v>536</v>
      </c>
    </row>
    <row r="1467" customHeight="1" spans="2:5">
      <c r="B1467" s="24" t="s">
        <v>883</v>
      </c>
      <c r="C1467" s="25" t="s">
        <v>204</v>
      </c>
      <c r="D1467" s="26"/>
      <c r="E1467" s="27">
        <v>3322.2</v>
      </c>
    </row>
    <row r="1468" customHeight="1" spans="2:5">
      <c r="B1468" s="24" t="s">
        <v>884</v>
      </c>
      <c r="C1468" s="25" t="s">
        <v>210</v>
      </c>
      <c r="D1468" s="26"/>
      <c r="E1468" s="27">
        <v>113996.52</v>
      </c>
    </row>
    <row r="1469" customHeight="1" spans="2:5">
      <c r="B1469" s="24" t="s">
        <v>887</v>
      </c>
      <c r="C1469" s="25" t="s">
        <v>214</v>
      </c>
      <c r="D1469" s="26"/>
      <c r="E1469" s="27">
        <v>699.64</v>
      </c>
    </row>
    <row r="1470" customHeight="1" spans="2:5">
      <c r="B1470" s="24" t="s">
        <v>888</v>
      </c>
      <c r="C1470" s="25" t="s">
        <v>216</v>
      </c>
      <c r="D1470" s="26"/>
      <c r="E1470" s="27">
        <v>136727.76</v>
      </c>
    </row>
    <row r="1471" customHeight="1" spans="2:5">
      <c r="B1471" s="24" t="s">
        <v>889</v>
      </c>
      <c r="C1471" s="25" t="s">
        <v>431</v>
      </c>
      <c r="D1471" s="26"/>
      <c r="E1471" s="27">
        <v>46893.63</v>
      </c>
    </row>
    <row r="1472" customHeight="1" spans="2:5">
      <c r="B1472" s="24" t="s">
        <v>891</v>
      </c>
      <c r="C1472" s="25" t="s">
        <v>218</v>
      </c>
      <c r="D1472" s="26"/>
      <c r="E1472" s="27">
        <v>467444.04</v>
      </c>
    </row>
    <row r="1473" customHeight="1" spans="2:5">
      <c r="B1473" s="24" t="s">
        <v>892</v>
      </c>
      <c r="C1473" s="25" t="s">
        <v>220</v>
      </c>
      <c r="D1473" s="26"/>
      <c r="E1473" s="27">
        <v>33650</v>
      </c>
    </row>
    <row r="1474" customHeight="1" spans="2:5">
      <c r="B1474" s="24" t="s">
        <v>893</v>
      </c>
      <c r="C1474" s="25" t="s">
        <v>612</v>
      </c>
      <c r="D1474" s="26"/>
      <c r="E1474" s="27">
        <v>107020.56</v>
      </c>
    </row>
    <row r="1475" customHeight="1" spans="2:5">
      <c r="B1475" s="24" t="s">
        <v>894</v>
      </c>
      <c r="C1475" s="25" t="s">
        <v>222</v>
      </c>
      <c r="D1475" s="26"/>
      <c r="E1475" s="27">
        <v>803.14</v>
      </c>
    </row>
    <row r="1476" customHeight="1" spans="2:5">
      <c r="B1476" s="24" t="s">
        <v>895</v>
      </c>
      <c r="C1476" s="25" t="s">
        <v>542</v>
      </c>
      <c r="D1476" s="26"/>
      <c r="E1476" s="27">
        <v>17956.93</v>
      </c>
    </row>
    <row r="1477" customHeight="1" spans="2:5">
      <c r="B1477" s="24" t="s">
        <v>896</v>
      </c>
      <c r="C1477" s="25" t="s">
        <v>897</v>
      </c>
      <c r="D1477" s="26"/>
      <c r="E1477" s="28">
        <v>6477.44</v>
      </c>
    </row>
    <row r="1478" customHeight="1" spans="2:5">
      <c r="B1478" s="24" t="s">
        <v>898</v>
      </c>
      <c r="C1478" s="25" t="s">
        <v>63</v>
      </c>
      <c r="D1478" s="26"/>
      <c r="E1478" s="27">
        <v>109728.66</v>
      </c>
    </row>
    <row r="1479" customHeight="1" spans="2:5">
      <c r="B1479" s="24" t="s">
        <v>899</v>
      </c>
      <c r="C1479" s="25" t="s">
        <v>107</v>
      </c>
      <c r="D1479" s="26"/>
      <c r="E1479" s="27">
        <v>-109728.66</v>
      </c>
    </row>
    <row r="1480" customHeight="1" spans="2:5">
      <c r="B1480" s="24" t="s">
        <v>900</v>
      </c>
      <c r="C1480" s="25" t="s">
        <v>901</v>
      </c>
      <c r="D1480" s="26"/>
      <c r="E1480" s="27">
        <v>8491767</v>
      </c>
    </row>
    <row r="1481" customHeight="1" spans="2:5">
      <c r="B1481" s="24" t="s">
        <v>902</v>
      </c>
      <c r="C1481" s="25" t="s">
        <v>903</v>
      </c>
      <c r="D1481" s="26"/>
      <c r="E1481" s="27">
        <v>170648.32</v>
      </c>
    </row>
    <row r="1482" customHeight="1" spans="2:5">
      <c r="B1482" s="24" t="s">
        <v>904</v>
      </c>
      <c r="C1482" s="25" t="s">
        <v>905</v>
      </c>
      <c r="D1482" s="26"/>
      <c r="E1482" s="27">
        <v>3266540.66</v>
      </c>
    </row>
    <row r="1483" customHeight="1" spans="2:5">
      <c r="B1483" s="24" t="s">
        <v>906</v>
      </c>
      <c r="C1483" s="25" t="s">
        <v>161</v>
      </c>
      <c r="D1483" s="26"/>
      <c r="E1483" s="27">
        <v>798200.26</v>
      </c>
    </row>
    <row r="1484" customHeight="1" spans="2:5">
      <c r="B1484" s="24" t="s">
        <v>907</v>
      </c>
      <c r="C1484" s="25" t="s">
        <v>908</v>
      </c>
      <c r="D1484" s="26"/>
      <c r="E1484" s="27">
        <v>841618.1</v>
      </c>
    </row>
    <row r="1485" customHeight="1" spans="2:5">
      <c r="B1485" s="24" t="s">
        <v>933</v>
      </c>
      <c r="C1485" s="25" t="s">
        <v>934</v>
      </c>
      <c r="D1485" s="26"/>
      <c r="E1485" s="27">
        <v>92404.47</v>
      </c>
    </row>
    <row r="1486" customHeight="1" spans="2:5">
      <c r="B1486" s="24" t="s">
        <v>909</v>
      </c>
      <c r="C1486" s="25" t="s">
        <v>910</v>
      </c>
      <c r="D1486" s="26"/>
      <c r="E1486" s="27">
        <v>-2304180.84</v>
      </c>
    </row>
    <row r="1487" customHeight="1" spans="2:5">
      <c r="B1487" s="24" t="s">
        <v>911</v>
      </c>
      <c r="C1487" s="25" t="s">
        <v>912</v>
      </c>
      <c r="D1487" s="26"/>
      <c r="E1487" s="27">
        <v>2477982.62</v>
      </c>
    </row>
    <row r="1488" customHeight="1" spans="2:5">
      <c r="B1488" s="24" t="s">
        <v>935</v>
      </c>
      <c r="C1488" s="25" t="s">
        <v>137</v>
      </c>
      <c r="D1488" s="26"/>
      <c r="E1488" s="27">
        <v>103812.63</v>
      </c>
    </row>
    <row r="1489" customHeight="1" spans="2:5">
      <c r="B1489" s="24" t="s">
        <v>936</v>
      </c>
      <c r="C1489" s="25" t="s">
        <v>937</v>
      </c>
      <c r="D1489" s="26"/>
      <c r="E1489" s="27">
        <v>-8485.25</v>
      </c>
    </row>
    <row r="1490" customHeight="1" spans="2:5">
      <c r="B1490" s="24" t="s">
        <v>938</v>
      </c>
      <c r="C1490" s="25" t="s">
        <v>939</v>
      </c>
      <c r="D1490" s="26"/>
      <c r="E1490" s="27">
        <v>-25966</v>
      </c>
    </row>
    <row r="1491" customHeight="1" spans="2:5">
      <c r="B1491" s="24" t="s">
        <v>940</v>
      </c>
      <c r="C1491" s="25" t="s">
        <v>941</v>
      </c>
      <c r="D1491" s="26"/>
      <c r="E1491" s="27">
        <v>-1356.65</v>
      </c>
    </row>
    <row r="1492" customHeight="1" spans="2:5">
      <c r="B1492" s="24" t="s">
        <v>942</v>
      </c>
      <c r="C1492" s="25" t="s">
        <v>943</v>
      </c>
      <c r="D1492" s="26"/>
      <c r="E1492" s="27">
        <v>-83109.33</v>
      </c>
    </row>
    <row r="1493" customHeight="1" spans="2:5">
      <c r="B1493" s="24" t="s">
        <v>913</v>
      </c>
      <c r="C1493" s="25" t="s">
        <v>63</v>
      </c>
      <c r="D1493" s="26"/>
      <c r="E1493" s="27">
        <v>-469751.43</v>
      </c>
    </row>
    <row r="1494" customHeight="1" spans="2:5">
      <c r="B1494" s="24" t="s">
        <v>914</v>
      </c>
      <c r="C1494" s="25" t="s">
        <v>915</v>
      </c>
      <c r="D1494" s="26"/>
      <c r="E1494" s="27">
        <v>-11229576.42</v>
      </c>
    </row>
    <row r="1495" customHeight="1" spans="2:5">
      <c r="B1495" s="24" t="s">
        <v>944</v>
      </c>
      <c r="C1495" s="25" t="s">
        <v>115</v>
      </c>
      <c r="D1495" s="26"/>
      <c r="E1495" s="27">
        <v>103812.63</v>
      </c>
    </row>
    <row r="1496" customHeight="1" spans="2:5">
      <c r="B1496" s="24" t="s">
        <v>945</v>
      </c>
      <c r="C1496" s="25" t="s">
        <v>173</v>
      </c>
      <c r="D1496" s="26"/>
      <c r="E1496" s="27">
        <v>-77299.87</v>
      </c>
    </row>
    <row r="1497" customHeight="1" spans="2:5">
      <c r="B1497" s="24" t="s">
        <v>946</v>
      </c>
      <c r="C1497" s="25" t="s">
        <v>947</v>
      </c>
      <c r="D1497" s="26"/>
      <c r="E1497" s="27">
        <v>-2496103.81</v>
      </c>
    </row>
    <row r="1498" customHeight="1" spans="2:5">
      <c r="B1498" s="24" t="s">
        <v>948</v>
      </c>
      <c r="C1498" s="25" t="s">
        <v>949</v>
      </c>
      <c r="D1498" s="26"/>
      <c r="E1498" s="28">
        <v>349042.91</v>
      </c>
    </row>
    <row r="1499" customHeight="1" spans="2:5">
      <c r="B1499" s="24" t="s">
        <v>917</v>
      </c>
      <c r="C1499" s="25" t="s">
        <v>918</v>
      </c>
      <c r="D1499" s="26"/>
      <c r="E1499" s="27">
        <v>-62710.26</v>
      </c>
    </row>
    <row r="1500" customHeight="1" spans="2:5">
      <c r="B1500" s="24" t="s">
        <v>919</v>
      </c>
      <c r="C1500" s="25" t="s">
        <v>920</v>
      </c>
      <c r="D1500" s="26"/>
      <c r="E1500" s="27">
        <v>-622879.84</v>
      </c>
    </row>
    <row r="1501" customHeight="1" spans="2:5">
      <c r="B1501" s="24" t="s">
        <v>921</v>
      </c>
      <c r="C1501" s="25" t="s">
        <v>922</v>
      </c>
      <c r="D1501" s="26"/>
      <c r="E1501" s="27">
        <v>-960255.25</v>
      </c>
    </row>
    <row r="1502" customHeight="1" spans="2:5">
      <c r="B1502" s="24" t="s">
        <v>925</v>
      </c>
      <c r="C1502" s="25" t="s">
        <v>926</v>
      </c>
      <c r="D1502" s="26"/>
      <c r="E1502" s="27">
        <v>-25722.19</v>
      </c>
    </row>
    <row r="1503" customHeight="1" spans="2:5">
      <c r="B1503" s="24" t="s">
        <v>927</v>
      </c>
      <c r="C1503" s="25" t="s">
        <v>928</v>
      </c>
      <c r="D1503" s="26"/>
      <c r="E1503" s="27">
        <v>-7501312.03</v>
      </c>
    </row>
    <row r="1504" customHeight="1" spans="2:5">
      <c r="B1504" s="24" t="s">
        <v>931</v>
      </c>
      <c r="C1504" s="25" t="s">
        <v>63</v>
      </c>
      <c r="D1504" s="26"/>
      <c r="E1504" s="27">
        <v>7484182.53</v>
      </c>
    </row>
    <row r="1505" customHeight="1" spans="2:5">
      <c r="B1505" s="24" t="s">
        <v>932</v>
      </c>
      <c r="C1505" s="25" t="s">
        <v>915</v>
      </c>
      <c r="D1505" s="26"/>
      <c r="E1505" s="27">
        <v>4371079.39</v>
      </c>
    </row>
    <row r="1506" customHeight="1" spans="2:5">
      <c r="B1506" s="24" t="s">
        <v>950</v>
      </c>
      <c r="C1506" s="25" t="s">
        <v>115</v>
      </c>
      <c r="D1506" s="26"/>
      <c r="E1506" s="27">
        <v>971375.35</v>
      </c>
    </row>
    <row r="1507" customHeight="1" spans="2:5">
      <c r="B1507" s="24" t="s">
        <v>951</v>
      </c>
      <c r="C1507" s="25" t="s">
        <v>107</v>
      </c>
      <c r="D1507" s="26"/>
      <c r="E1507" s="27">
        <v>-53991</v>
      </c>
    </row>
    <row r="1508" customHeight="1" spans="2:5">
      <c r="B1508" s="34" t="s">
        <v>952</v>
      </c>
      <c r="C1508" s="35" t="s">
        <v>173</v>
      </c>
      <c r="D1508" s="36"/>
      <c r="E1508" s="37">
        <v>-3599766.7</v>
      </c>
    </row>
  </sheetData>
  <pageMargins left="0.7" right="0.7" top="0.75" bottom="0.75" header="0.3" footer="0.3"/>
  <headerFooter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9A08810-24EC-4F6B-BD5C-F5CEA6E4777D}">
  <ds:schemaRefs/>
</ds:datastoreItem>
</file>

<file path=customXml/itemProps2.xml><?xml version="1.0" encoding="utf-8"?>
<ds:datastoreItem xmlns:ds="http://schemas.openxmlformats.org/officeDocument/2006/customXml" ds:itemID="{E6106514-7AA6-4C86-A5B7-7A6207308947}">
  <ds:schemaRefs/>
</ds:datastoreItem>
</file>

<file path=customXml/itemProps3.xml><?xml version="1.0" encoding="utf-8"?>
<ds:datastoreItem xmlns:ds="http://schemas.openxmlformats.org/officeDocument/2006/customXml" ds:itemID="{D165B63A-3A21-404F-B990-C583158D90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TB Formatted</vt:lpstr>
      <vt:lpstr>TB OLD vs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agarwal</dc:creator>
  <cp:lastModifiedBy>nova</cp:lastModifiedBy>
  <dcterms:created xsi:type="dcterms:W3CDTF">2024-08-28T06:50:00Z</dcterms:created>
  <dcterms:modified xsi:type="dcterms:W3CDTF">2025-04-01T14:30:35Z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97F1170C3B3B1FE58470EA67959FFD94_42</vt:lpwstr>
  </property>
  <property fmtid="{D5CDD505-2E9C-101B-9397-08002B2CF9AE}" pid="3" name="KSOProductBuildVer">
    <vt:lpwstr>1033-6.10.1.8197</vt:lpwstr>
  </property>
</Properties>
</file>