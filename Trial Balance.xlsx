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220"/>
  </bookViews>
  <sheets>
    <sheet name="Formatted TB" sheetId="2" r:id="rId1"/>
  </sheets>
  <definedNames>
    <definedName name="_xlnm._FilterDatabase" localSheetId="0" hidden="1">'Formatted TB'!$A$6:$C$124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<sst xmlns="http://schemas.openxmlformats.org/spreadsheetml/2006/main" count="128" uniqueCount="128">
  <si>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Client Name</t>
  </si>
  <si>
    <t>UltraVoilet Education Fund</t>
  </si>
  <si>
    <t>FIscal Year End</t>
  </si>
  <si>
    <t>Workpaper</t>
  </si>
  <si>
    <t>Formatted Trial Balance</t>
  </si>
  <si>
    <t>Source</t>
  </si>
  <si>
    <t>TB-6</t>
  </si>
  <si>
    <t>Account Code</t>
  </si>
  <si>
    <t>Account Description</t>
  </si>
  <si>
    <t>Amount</t>
  </si>
  <si>
    <t>Amalgamated Bank Checking</t>
  </si>
  <si>
    <t>Amalgamated - iCS account</t>
  </si>
  <si>
    <t>Raymond James - Investments</t>
  </si>
  <si>
    <t>Undeposited Funds - DIT</t>
  </si>
  <si>
    <t>Pledges/donations  Receivable</t>
  </si>
  <si>
    <t>Accounts Receivable</t>
  </si>
  <si>
    <t>Employee &amp; Other Receivable</t>
  </si>
  <si>
    <t>C4 Receivable</t>
  </si>
  <si>
    <t>Pre-paid Expenses</t>
  </si>
  <si>
    <t>Pre-paid Expenses:Pre-Paid PEX Master Account</t>
  </si>
  <si>
    <t>Pre-paid Expenses:Pre-Paid PEX Master Account:Chino, Anathea Pre-Paid PEX</t>
  </si>
  <si>
    <t>Pre-paid Expenses:Pre-Paid PEX Master Account:Plate, Kathy Pre-Paid PEX</t>
  </si>
  <si>
    <t>Pre-paid Expenses:Pre-Paid PEX Master Account:Varjavand, Melody Pre-Paid PEX</t>
  </si>
  <si>
    <t>Pre-paid Expenses:Pre-Paid PEX Master Account:Budzynski, Lindsay Pre-Paid PEX</t>
  </si>
  <si>
    <t>Pre-paid Expenses:Pre-Paid PEX Master Account:Spoo, Sonja Pre-Paid PEX</t>
  </si>
  <si>
    <t>Pre-paid Expenses:Pre-Paid PEX Master Account:Williams, Kimberly Pre-Paid PEX</t>
  </si>
  <si>
    <t>Pre-paid Expenses:Pre-Paid PEX Master Account:Tchijov, Maria Pre-Paid PEX</t>
  </si>
  <si>
    <t>Pre-paid Expenses:Pre-Paid PEX Master Account:Reilly, Katie Pre-Paid PEX</t>
  </si>
  <si>
    <t>Pre-paid Expenses:Pre-Paid PEX Master Account:Batista, Elisa Pre-paid PEX</t>
  </si>
  <si>
    <t>Pre-paid Expenses:Pre-Paid PEX Master Account:Rich, KaeLyn Pre-paid PEX</t>
  </si>
  <si>
    <t>Pre-paid Expenses:Pre-Paid PEX Master Account:Brawley, Iris Pre-paid PEX</t>
  </si>
  <si>
    <t>Pre-paid Expenses:Pre-Paid PEX Master Account:Chavez, KD Pre-paid PEX</t>
  </si>
  <si>
    <t>Pre-paid Expenses:Pre-Paid PEX Master Account:Todd, Bridget Pre-Paid PEX</t>
  </si>
  <si>
    <t>Pre-paid Expenses:Pre-Paid PEX Master Account:Bittaye-Jobe, Isatou Pre-Paid</t>
  </si>
  <si>
    <t>Pre-paid Expenses:Pre-Paid PEX Master Account:Aiyer, Jaya Savita Pre-Paid</t>
  </si>
  <si>
    <t>Pre-paid Expenses:Pre-Paid PEX Master Account:Haque, Meena Pre-Paid PEX</t>
  </si>
  <si>
    <t>Pre-paid Expenses:Pre-Paid PEX Master Account:Ly, Luna Pre-Paid PEX</t>
  </si>
  <si>
    <t>Pre-paid Expenses:Pre-Paid PEX Master Account:Thomas, Shaunna Pre-Paid PEX</t>
  </si>
  <si>
    <t>Pre-paid Expenses:Pre-Paid PEX Master Account:Preston, Toni Pre-Paid PEX</t>
  </si>
  <si>
    <t>Pre-paid Expenses:Pre-Paid PEX Master Account:Regalado, Nicole Pre-Paid PEX</t>
  </si>
  <si>
    <t>Pre-paid Expenses:Pre-paid State Registrations</t>
  </si>
  <si>
    <t>Pre-paid Expenses:Pre-Paid PEX Master Account:David, Kimmie Pre-Paid PEX</t>
  </si>
  <si>
    <t>Pre-paid Expenses:Pre-Paid PEX Master Account:Sherman, Jenna Pre-Paid PEX</t>
  </si>
  <si>
    <t>Pre-paid Expenses:Pre-Paid PEX Master Account:Valderrama, Rosa Pre -Paid PEX</t>
  </si>
  <si>
    <t>Pre-paid Expenses:Pre-Paid PEX Master Account:Scott-Adjei, Erica Pre-Paid PEX</t>
  </si>
  <si>
    <t>Pre-paid Expenses:Pre-Paid PEX Master Account:Ferguson, Sarah Pre-Paid PEX</t>
  </si>
  <si>
    <t>Pre-paid Expenses:Pre-Paid PEX Master Account:Garza, Jamie Pre -Paid PEX</t>
  </si>
  <si>
    <t>Security Deposits</t>
  </si>
  <si>
    <t>Accounts Payable (A/P)</t>
  </si>
  <si>
    <t>Accrued Expenses</t>
  </si>
  <si>
    <t>Payable to UV-AF C4</t>
  </si>
  <si>
    <t>Payroll Liabilities:EE Payroll Taxes</t>
  </si>
  <si>
    <t>Payroll Liabilities:EE Health Insurance Premium</t>
  </si>
  <si>
    <t>Payroll Liabilities:ER HSA Contributions</t>
  </si>
  <si>
    <t>Payroll Liabilities:EE Pre-Tax 401k Elective Contri</t>
  </si>
  <si>
    <t>Payroll Liabilities:EE Post-Tax 401k Roth Contribut</t>
  </si>
  <si>
    <t>Payroll Liabilities:Employer 401k Match Payable</t>
  </si>
  <si>
    <t>Payroll Liabilities:EE 401k Loan Repayments</t>
  </si>
  <si>
    <t>Payroll Liabilities:Flex Plan Benefits</t>
  </si>
  <si>
    <t>Payroll Liabilities:Accrued Vacation Liability</t>
  </si>
  <si>
    <t>Accrued campaign expenses</t>
  </si>
  <si>
    <t>Loan Liability - PPP1</t>
  </si>
  <si>
    <t>Loan Liability - PPP1:Loan Liability - PPP2</t>
  </si>
  <si>
    <t>Retained Earnings</t>
  </si>
  <si>
    <t>Cash Reserve Net Assets</t>
  </si>
  <si>
    <t>Temporarily Restricted Net Asse</t>
  </si>
  <si>
    <t>Opening Balance Equity</t>
  </si>
  <si>
    <t>Contributions:Unrestricted contribuions:Individual contributions</t>
  </si>
  <si>
    <t>Contributions:Unrestricted contribuions:Major Donors</t>
  </si>
  <si>
    <t>Contributions:Unrestricted contribuions:Foundations</t>
  </si>
  <si>
    <t>Contributions:Restricted contributions:Foundations</t>
  </si>
  <si>
    <t>Revenues:Investment Income-Interest</t>
  </si>
  <si>
    <t>Revenues:Realized Gain and Losses</t>
  </si>
  <si>
    <t>Salaries, tax and benefits:Salaries &amp; Wages</t>
  </si>
  <si>
    <t>Salaries, tax and benefits:Payroll taxes:Employer Payroll Taxes</t>
  </si>
  <si>
    <t>Salaries, tax and benefits:Benefits:Health Insurance</t>
  </si>
  <si>
    <t>Salaries, tax and benefits:Benefits:ER 401k Match</t>
  </si>
  <si>
    <t>Salaries, tax and benefits:Benefits:Rent Stipend</t>
  </si>
  <si>
    <t>Salaries, tax and benefits:Benefits:Workers Compensation</t>
  </si>
  <si>
    <t>Salaries, tax and benefits:Benefits:Accrued vacation</t>
  </si>
  <si>
    <t>Salaries, tax and benefits:Benefits:Childcare Stipend</t>
  </si>
  <si>
    <t>Professional services:Legal Services</t>
  </si>
  <si>
    <t>Professional services:Accounting -  Audit &amp; Tax</t>
  </si>
  <si>
    <t>Professional services:Payroll Services</t>
  </si>
  <si>
    <t>Professional services:Coaching</t>
  </si>
  <si>
    <t>Professional services:Other outside services</t>
  </si>
  <si>
    <t>Campaign and program expenses:Consultants:Communications contracting</t>
  </si>
  <si>
    <t>Campaign and program expenses:Consultants:Creative contracting</t>
  </si>
  <si>
    <t>Campaign and program expenses:Consultants:Proofreaders</t>
  </si>
  <si>
    <t>Campaign and program expenses:Consultants:Technology contractors:Other tech and design services</t>
  </si>
  <si>
    <t>Campaign and program expenses:Consultants:Technology contractors:Platform, hosting and software</t>
  </si>
  <si>
    <t>Campaign and program expenses:Outreach and promotions:Advertising/promotional</t>
  </si>
  <si>
    <t>Campaign and program expenses:Outreach and promotions:Data - subscriptions fees</t>
  </si>
  <si>
    <t>Campaign and program expenses:Outreach and promotions:Sponsorships, grants &amp; contribu</t>
  </si>
  <si>
    <t>Campaign and program expenses:Outreach and promotions:Texting</t>
  </si>
  <si>
    <t>Campaign and program expenses:Other campaign expenses</t>
  </si>
  <si>
    <t>Campaign and program expenses:Campaigns Conferences/Trainings/Talks</t>
  </si>
  <si>
    <t>Campaign and program expenses:Campaign events:Event Travel &amp; Lodging External</t>
  </si>
  <si>
    <t>Campaign and program expenses:Campaign events:Event Supplies</t>
  </si>
  <si>
    <t>Campaign and program expenses:Campaign events:Event Catering &amp; Food</t>
  </si>
  <si>
    <t>Campaign and program expenses:Campaign events:Other Event Expenses</t>
  </si>
  <si>
    <t>Conferences and travel:Staff Meetings &amp; Retreats:SM&amp;R Travel (air,hotel,taxis)</t>
  </si>
  <si>
    <t>Conferences and travel:Staff Meetings &amp; Retreats:SM&amp;R Meals</t>
  </si>
  <si>
    <t>Conferences and travel:Staff Meetings &amp; Retreats:SM&amp;R Misc.</t>
  </si>
  <si>
    <t>Conferences and travel:Profess Development &amp; Training:PDT  Travel (air, hotel, taxis)</t>
  </si>
  <si>
    <t>Conferences and travel:Profess Development &amp; Training:TCPD Miscellaneous</t>
  </si>
  <si>
    <t>Conferences and travel:Profess Development &amp; Training:TCPD Registration</t>
  </si>
  <si>
    <t>Conferences and travel:Local Administrative Travel</t>
  </si>
  <si>
    <t>Operations:Property &amp; Liability Insurance</t>
  </si>
  <si>
    <t>Operations:D &amp; O Insurance</t>
  </si>
  <si>
    <t>Operations:Telephone and Internet</t>
  </si>
  <si>
    <t>Operations:Delivery &amp; copying services</t>
  </si>
  <si>
    <t>Operations:Office Supplies</t>
  </si>
  <si>
    <t>Operations:Recruitment services</t>
  </si>
  <si>
    <t>Operations:Bank Merchant Transaction Fees</t>
  </si>
  <si>
    <t>Operations:Staff Gifts &amp; appreciation</t>
  </si>
  <si>
    <t>Operations:Misc Office Expense</t>
  </si>
  <si>
    <t>Operations:Licenses, state regist, permits</t>
  </si>
  <si>
    <t>Operations:Subscriptions,  Apps, Software</t>
  </si>
  <si>
    <t>Fundraising Expenses:Fundraising Events</t>
  </si>
  <si>
    <t>Fundraising Expenses:Fundraising Travel</t>
  </si>
  <si>
    <t>Fundraising Expenses:Fundraising Travel:Fundraising Air Travel</t>
  </si>
  <si>
    <t>Fundraising Expenses:Fundraising Travel:Fundraising Hotels</t>
  </si>
  <si>
    <t>Fundraising Expenses:Fundraising Travel:Fundraising Employee Meals</t>
  </si>
  <si>
    <t>Fundraising Expenses:Donor Cultivation</t>
  </si>
  <si>
    <t>Clearing Account:Clearing Account - Org Card</t>
  </si>
  <si>
    <t>Clearing Account:Clearing Account - AH</t>
  </si>
  <si>
    <t>Clearing Account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</si>
</sst>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</numFmts>
  <fonts count="22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58" fontId="0" fillId="0" borderId="0" xfId="0" applyNumberFormat="1" applyAlignment="1">
      <alignment horizontal="left"/>
    </xf>
    <xf numFmtId="176" fontId="0" fillId="0" borderId="0" xfId="1" applyFont="1" applyFill="1"/>
    <xf numFmtId="0" fontId="1" fillId="2" borderId="1" xfId="0" applyFont="1" applyFill="1" applyBorder="1"/>
    <xf numFmtId="0" fontId="0" fillId="0" borderId="2" xfId="0" applyBorder="1"/>
    <xf numFmtId="176" fontId="0" fillId="0" borderId="2" xfId="1" applyFont="1" applyFill="1" applyBorder="1"/>
    <xf numFmtId="0" fontId="0" fillId="0" borderId="3" xfId="0" applyBorder="1"/>
    <xf numFmtId="176" fontId="0" fillId="0" borderId="3" xfId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tabSelected="1" workbookViewId="0">
      <selection activeCell="A2" sqref="A2"/>
    </sheetView>
  </sheetViews>
  <sheetFormatPr defaultColWidth="9" defaultRowHeight="16.8" outlineLevelCol="2"/>
  <cols>
    <col min="1" max="1" width="15.5546875" customWidth="1"/>
    <col min="2" max="2" width="45.4453125" customWidth="1"/>
    <col min="3" max="3" width="14.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s="2">
        <v>46022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ht="17.55" spans="3:3">
      <c r="C5" s="3">
        <f>SUBTOTAL(9,C7:C124)</f>
        <v>-2.51802134698664e-10</v>
      </c>
    </row>
    <row r="6" ht="17.55" spans="1:3">
      <c r="A6" s="4" t="s">
        <v>7</v>
      </c>
      <c r="B6" s="4" t="s">
        <v>8</v>
      </c>
      <c r="C6" s="4" t="s">
        <v>9</v>
      </c>
    </row>
    <row r="7" spans="1:3">
      <c r="A7" s="5">
        <v>1000</v>
      </c>
      <c r="B7" s="5" t="s">
        <v>10</v>
      </c>
      <c r="C7" s="6">
        <v>1447486.36</v>
      </c>
    </row>
    <row r="8" spans="1:3">
      <c r="A8" s="5">
        <v>1001</v>
      </c>
      <c r="B8" s="5" t="s">
        <v>11</v>
      </c>
      <c r="C8" s="6">
        <v>320932.92</v>
      </c>
    </row>
    <row r="9" spans="1:3">
      <c r="A9" s="5">
        <v>1010</v>
      </c>
      <c r="B9" s="5" t="s">
        <v>12</v>
      </c>
      <c r="C9" s="6">
        <v>0</v>
      </c>
    </row>
    <row r="10" spans="1:3">
      <c r="A10" s="5">
        <v>1090</v>
      </c>
      <c r="B10" s="5" t="s">
        <v>13</v>
      </c>
      <c r="C10" s="6">
        <v>10260</v>
      </c>
    </row>
    <row r="11" spans="1:3">
      <c r="A11" s="5">
        <v>1200</v>
      </c>
      <c r="B11" s="5" t="s">
        <v>14</v>
      </c>
      <c r="C11" s="6">
        <v>1092500</v>
      </c>
    </row>
    <row r="12" spans="1:3">
      <c r="A12" s="5">
        <v>1210</v>
      </c>
      <c r="B12" s="5" t="s">
        <v>15</v>
      </c>
      <c r="C12" s="6">
        <v>0</v>
      </c>
    </row>
    <row r="13" spans="1:3">
      <c r="A13" s="5">
        <v>1211</v>
      </c>
      <c r="B13" s="5" t="s">
        <v>16</v>
      </c>
      <c r="C13" s="6">
        <v>824.05</v>
      </c>
    </row>
    <row r="14" spans="1:3">
      <c r="A14" s="5">
        <v>1250</v>
      </c>
      <c r="B14" s="5" t="s">
        <v>17</v>
      </c>
      <c r="C14" s="6">
        <v>97054.16</v>
      </c>
    </row>
    <row r="15" spans="1:3">
      <c r="A15" s="5">
        <v>1500</v>
      </c>
      <c r="B15" s="5" t="s">
        <v>18</v>
      </c>
      <c r="C15" s="6">
        <v>35865.1</v>
      </c>
    </row>
    <row r="16" spans="1:3">
      <c r="A16" s="5">
        <v>1510</v>
      </c>
      <c r="B16" s="5" t="s">
        <v>19</v>
      </c>
      <c r="C16" s="6">
        <v>117.81</v>
      </c>
    </row>
    <row r="17" spans="1:3">
      <c r="A17" s="5">
        <v>1515</v>
      </c>
      <c r="B17" s="5" t="s">
        <v>20</v>
      </c>
      <c r="C17" s="6">
        <v>0</v>
      </c>
    </row>
    <row r="18" spans="1:3">
      <c r="A18" s="5">
        <v>1520</v>
      </c>
      <c r="B18" s="5" t="s">
        <v>21</v>
      </c>
      <c r="C18" s="6">
        <v>0</v>
      </c>
    </row>
    <row r="19" spans="1:3">
      <c r="A19" s="5">
        <v>1526</v>
      </c>
      <c r="B19" s="5" t="s">
        <v>22</v>
      </c>
      <c r="C19" s="6">
        <v>1000</v>
      </c>
    </row>
    <row r="20" spans="1:3">
      <c r="A20" s="5">
        <v>1528</v>
      </c>
      <c r="B20" s="5" t="s">
        <v>23</v>
      </c>
      <c r="C20" s="6">
        <v>0</v>
      </c>
    </row>
    <row r="21" spans="1:3">
      <c r="A21" s="5">
        <v>1530</v>
      </c>
      <c r="B21" s="5" t="s">
        <v>24</v>
      </c>
      <c r="C21" s="6">
        <v>0</v>
      </c>
    </row>
    <row r="22" spans="1:3">
      <c r="A22" s="5">
        <v>1532</v>
      </c>
      <c r="B22" s="5" t="s">
        <v>25</v>
      </c>
      <c r="C22" s="6">
        <v>1000</v>
      </c>
    </row>
    <row r="23" spans="1:3">
      <c r="A23" s="5">
        <v>1534</v>
      </c>
      <c r="B23" s="5" t="s">
        <v>26</v>
      </c>
      <c r="C23" s="6">
        <v>0</v>
      </c>
    </row>
    <row r="24" spans="1:3">
      <c r="A24" s="5">
        <v>1537</v>
      </c>
      <c r="B24" s="5" t="s">
        <v>27</v>
      </c>
      <c r="C24" s="6">
        <v>0</v>
      </c>
    </row>
    <row r="25" spans="1:3">
      <c r="A25" s="5">
        <v>1538</v>
      </c>
      <c r="B25" s="5" t="s">
        <v>28</v>
      </c>
      <c r="C25" s="6">
        <v>1393.65</v>
      </c>
    </row>
    <row r="26" spans="1:3">
      <c r="A26" s="5">
        <v>1539</v>
      </c>
      <c r="B26" s="5" t="s">
        <v>29</v>
      </c>
      <c r="C26" s="6">
        <v>1452</v>
      </c>
    </row>
    <row r="27" spans="1:3">
      <c r="A27" s="5">
        <v>1540</v>
      </c>
      <c r="B27" s="5" t="s">
        <v>30</v>
      </c>
      <c r="C27" s="6">
        <v>0</v>
      </c>
    </row>
    <row r="28" spans="1:3">
      <c r="A28" s="5">
        <v>1541</v>
      </c>
      <c r="B28" s="5" t="s">
        <v>31</v>
      </c>
      <c r="C28" s="6">
        <v>0</v>
      </c>
    </row>
    <row r="29" spans="1:3">
      <c r="A29" s="5">
        <v>1542</v>
      </c>
      <c r="B29" s="5" t="s">
        <v>32</v>
      </c>
      <c r="C29" s="6">
        <v>0</v>
      </c>
    </row>
    <row r="30" spans="1:3">
      <c r="A30" s="5">
        <v>1543</v>
      </c>
      <c r="B30" s="5" t="s">
        <v>33</v>
      </c>
      <c r="C30" s="6">
        <v>0</v>
      </c>
    </row>
    <row r="31" spans="1:3">
      <c r="A31" s="5">
        <v>1544</v>
      </c>
      <c r="B31" s="5" t="s">
        <v>34</v>
      </c>
      <c r="C31" s="6">
        <v>0</v>
      </c>
    </row>
    <row r="32" spans="1:3">
      <c r="A32" s="5">
        <v>1545</v>
      </c>
      <c r="B32" s="5" t="s">
        <v>35</v>
      </c>
      <c r="C32" s="6">
        <v>0</v>
      </c>
    </row>
    <row r="33" spans="1:3">
      <c r="A33" s="5">
        <v>1546</v>
      </c>
      <c r="B33" s="5" t="s">
        <v>36</v>
      </c>
      <c r="C33" s="6">
        <v>0</v>
      </c>
    </row>
    <row r="34" spans="1:3">
      <c r="A34" s="5">
        <v>1547</v>
      </c>
      <c r="B34" s="5" t="s">
        <v>37</v>
      </c>
      <c r="C34" s="6">
        <v>0</v>
      </c>
    </row>
    <row r="35" spans="1:3">
      <c r="A35" s="5">
        <v>1548</v>
      </c>
      <c r="B35" s="5" t="s">
        <v>38</v>
      </c>
      <c r="C35" s="6">
        <v>0</v>
      </c>
    </row>
    <row r="36" spans="1:3">
      <c r="A36" s="5">
        <v>1549</v>
      </c>
      <c r="B36" s="5" t="s">
        <v>39</v>
      </c>
      <c r="C36" s="6">
        <v>3166.15</v>
      </c>
    </row>
    <row r="37" spans="1:3">
      <c r="A37" s="5">
        <v>1550</v>
      </c>
      <c r="B37" s="5" t="s">
        <v>40</v>
      </c>
      <c r="C37" s="6">
        <v>1963.57</v>
      </c>
    </row>
    <row r="38" spans="1:3">
      <c r="A38" s="5">
        <v>1551</v>
      </c>
      <c r="B38" s="5" t="s">
        <v>41</v>
      </c>
      <c r="C38" s="6">
        <v>0</v>
      </c>
    </row>
    <row r="39" spans="1:3">
      <c r="A39" s="5">
        <v>1552</v>
      </c>
      <c r="B39" s="5" t="s">
        <v>42</v>
      </c>
      <c r="C39" s="6">
        <v>1395.06</v>
      </c>
    </row>
    <row r="40" spans="1:3">
      <c r="A40" s="5">
        <v>1553</v>
      </c>
      <c r="B40" s="5" t="s">
        <v>43</v>
      </c>
      <c r="C40" s="6">
        <v>0</v>
      </c>
    </row>
    <row r="41" spans="1:3">
      <c r="A41" s="5">
        <v>1554</v>
      </c>
      <c r="B41" s="5" t="s">
        <v>44</v>
      </c>
      <c r="C41" s="6">
        <v>3000</v>
      </c>
    </row>
    <row r="42" spans="1:3">
      <c r="A42" s="5">
        <v>1555</v>
      </c>
      <c r="B42" s="5" t="s">
        <v>45</v>
      </c>
      <c r="C42" s="6">
        <v>1000</v>
      </c>
    </row>
    <row r="43" spans="1:3">
      <c r="A43" s="5">
        <v>1556</v>
      </c>
      <c r="B43" s="5" t="s">
        <v>46</v>
      </c>
      <c r="C43" s="6">
        <v>1500</v>
      </c>
    </row>
    <row r="44" spans="1:3">
      <c r="A44" s="5">
        <v>1800</v>
      </c>
      <c r="B44" s="5" t="s">
        <v>47</v>
      </c>
      <c r="C44" s="6">
        <v>0</v>
      </c>
    </row>
    <row r="45" spans="1:3">
      <c r="A45" s="5">
        <v>2000</v>
      </c>
      <c r="B45" s="5" t="s">
        <v>48</v>
      </c>
      <c r="C45" s="6">
        <v>-44107.89</v>
      </c>
    </row>
    <row r="46" spans="1:3">
      <c r="A46" s="5">
        <v>2010</v>
      </c>
      <c r="B46" s="5" t="s">
        <v>49</v>
      </c>
      <c r="C46" s="6">
        <v>-54464.49</v>
      </c>
    </row>
    <row r="47" spans="1:3">
      <c r="A47" s="5">
        <v>2020</v>
      </c>
      <c r="B47" s="5" t="s">
        <v>50</v>
      </c>
      <c r="C47" s="6">
        <v>-21221.66</v>
      </c>
    </row>
    <row r="48" spans="1:3">
      <c r="A48" s="5">
        <v>2041</v>
      </c>
      <c r="B48" s="5" t="s">
        <v>51</v>
      </c>
      <c r="C48" s="6">
        <v>-33770.44</v>
      </c>
    </row>
    <row r="49" spans="1:3">
      <c r="A49" s="5">
        <v>2042</v>
      </c>
      <c r="B49" s="5" t="s">
        <v>52</v>
      </c>
      <c r="C49" s="6">
        <v>-533.95</v>
      </c>
    </row>
    <row r="50" spans="1:3">
      <c r="A50" s="5">
        <v>2043</v>
      </c>
      <c r="B50" s="5" t="s">
        <v>53</v>
      </c>
      <c r="C50" s="6">
        <v>-7119.06</v>
      </c>
    </row>
    <row r="51" spans="1:3">
      <c r="A51" s="5">
        <v>2044</v>
      </c>
      <c r="B51" s="5" t="s">
        <v>54</v>
      </c>
      <c r="C51" s="6">
        <v>-2844.5</v>
      </c>
    </row>
    <row r="52" spans="1:3">
      <c r="A52" s="5">
        <v>2045</v>
      </c>
      <c r="B52" s="5" t="s">
        <v>55</v>
      </c>
      <c r="C52" s="6">
        <v>-1101.14</v>
      </c>
    </row>
    <row r="53" spans="1:3">
      <c r="A53" s="5">
        <v>2046</v>
      </c>
      <c r="B53" s="5" t="s">
        <v>56</v>
      </c>
      <c r="C53" s="6">
        <v>-3554.76</v>
      </c>
    </row>
    <row r="54" spans="1:3">
      <c r="A54" s="5">
        <v>2047</v>
      </c>
      <c r="B54" s="5" t="s">
        <v>57</v>
      </c>
      <c r="C54" s="6">
        <v>-1299.39</v>
      </c>
    </row>
    <row r="55" spans="1:3">
      <c r="A55" s="5">
        <v>2048</v>
      </c>
      <c r="B55" s="5" t="s">
        <v>58</v>
      </c>
      <c r="C55" s="6">
        <v>-681</v>
      </c>
    </row>
    <row r="56" spans="1:3">
      <c r="A56" s="5">
        <v>2049</v>
      </c>
      <c r="B56" s="5" t="s">
        <v>59</v>
      </c>
      <c r="C56" s="6">
        <v>-136895.86</v>
      </c>
    </row>
    <row r="57" spans="1:3">
      <c r="A57" s="5">
        <v>2050</v>
      </c>
      <c r="B57" s="5" t="s">
        <v>60</v>
      </c>
      <c r="C57" s="6">
        <v>0</v>
      </c>
    </row>
    <row r="58" spans="1:3">
      <c r="A58" s="5">
        <v>2060</v>
      </c>
      <c r="B58" s="5" t="s">
        <v>61</v>
      </c>
      <c r="C58" s="6">
        <v>0</v>
      </c>
    </row>
    <row r="59" spans="1:3">
      <c r="A59" s="5">
        <v>2062</v>
      </c>
      <c r="B59" s="5" t="s">
        <v>62</v>
      </c>
      <c r="C59" s="6">
        <v>0</v>
      </c>
    </row>
    <row r="60" spans="1:3">
      <c r="A60" s="5">
        <v>3000</v>
      </c>
      <c r="B60" s="5" t="s">
        <v>63</v>
      </c>
      <c r="C60" s="6">
        <v>-2628031.38</v>
      </c>
    </row>
    <row r="61" spans="1:3">
      <c r="A61" s="5">
        <v>3001</v>
      </c>
      <c r="B61" s="5" t="s">
        <v>64</v>
      </c>
      <c r="C61" s="6">
        <v>-315864</v>
      </c>
    </row>
    <row r="62" spans="1:3">
      <c r="A62" s="5">
        <v>3002</v>
      </c>
      <c r="B62" s="5" t="s">
        <v>65</v>
      </c>
      <c r="C62" s="6">
        <v>-373603.03</v>
      </c>
    </row>
    <row r="63" spans="1:3">
      <c r="A63" s="5">
        <v>3005</v>
      </c>
      <c r="B63" s="5" t="s">
        <v>66</v>
      </c>
      <c r="C63" s="6">
        <v>0</v>
      </c>
    </row>
    <row r="64" spans="1:3">
      <c r="A64" s="5">
        <v>4101</v>
      </c>
      <c r="B64" s="5" t="s">
        <v>67</v>
      </c>
      <c r="C64" s="6">
        <v>-35457.08</v>
      </c>
    </row>
    <row r="65" spans="1:3">
      <c r="A65" s="5">
        <v>4102</v>
      </c>
      <c r="B65" s="5" t="s">
        <v>68</v>
      </c>
      <c r="C65" s="6">
        <v>-93651.64</v>
      </c>
    </row>
    <row r="66" spans="1:3">
      <c r="A66" s="5">
        <v>4104</v>
      </c>
      <c r="B66" s="5" t="s">
        <v>69</v>
      </c>
      <c r="C66" s="6">
        <v>-1679300</v>
      </c>
    </row>
    <row r="67" spans="1:3">
      <c r="A67" s="5">
        <v>4204</v>
      </c>
      <c r="B67" s="5" t="s">
        <v>70</v>
      </c>
      <c r="C67" s="6">
        <v>-286489.28</v>
      </c>
    </row>
    <row r="68" spans="1:3">
      <c r="A68" s="5">
        <v>4501</v>
      </c>
      <c r="B68" s="5" t="s">
        <v>71</v>
      </c>
      <c r="C68" s="6">
        <v>-16252.7</v>
      </c>
    </row>
    <row r="69" spans="1:3">
      <c r="A69" s="5">
        <v>4503</v>
      </c>
      <c r="B69" s="5" t="s">
        <v>72</v>
      </c>
      <c r="C69" s="6">
        <v>568.22</v>
      </c>
    </row>
    <row r="70" spans="1:3">
      <c r="A70" s="5">
        <v>5001</v>
      </c>
      <c r="B70" s="5" t="s">
        <v>73</v>
      </c>
      <c r="C70" s="6">
        <v>1333094.54</v>
      </c>
    </row>
    <row r="71" spans="1:3">
      <c r="A71" s="5">
        <v>5011</v>
      </c>
      <c r="B71" s="5" t="s">
        <v>74</v>
      </c>
      <c r="C71" s="6">
        <v>103721.09</v>
      </c>
    </row>
    <row r="72" spans="1:3">
      <c r="A72" s="5">
        <v>5021</v>
      </c>
      <c r="B72" s="5" t="s">
        <v>75</v>
      </c>
      <c r="C72" s="6">
        <v>109601.84</v>
      </c>
    </row>
    <row r="73" spans="1:3">
      <c r="A73" s="5">
        <v>5022</v>
      </c>
      <c r="B73" s="5" t="s">
        <v>76</v>
      </c>
      <c r="C73" s="6">
        <v>62937.5</v>
      </c>
    </row>
    <row r="74" spans="1:3">
      <c r="A74" s="5">
        <v>5023</v>
      </c>
      <c r="B74" s="5" t="s">
        <v>77</v>
      </c>
      <c r="C74" s="6">
        <v>60306.39</v>
      </c>
    </row>
    <row r="75" spans="1:3">
      <c r="A75" s="5">
        <v>5024</v>
      </c>
      <c r="B75" s="5" t="s">
        <v>78</v>
      </c>
      <c r="C75" s="6">
        <v>6818.87</v>
      </c>
    </row>
    <row r="76" spans="1:3">
      <c r="A76" s="5">
        <v>5025</v>
      </c>
      <c r="B76" s="5" t="s">
        <v>79</v>
      </c>
      <c r="C76" s="6">
        <v>-54313.14</v>
      </c>
    </row>
    <row r="77" spans="1:3">
      <c r="A77" s="5">
        <v>5027</v>
      </c>
      <c r="B77" s="5" t="s">
        <v>80</v>
      </c>
      <c r="C77" s="6">
        <v>1537.5</v>
      </c>
    </row>
    <row r="78" spans="1:3">
      <c r="A78" s="5">
        <v>6001</v>
      </c>
      <c r="B78" s="5" t="s">
        <v>81</v>
      </c>
      <c r="C78" s="6">
        <v>89293.96</v>
      </c>
    </row>
    <row r="79" spans="1:3">
      <c r="A79" s="5">
        <v>6002</v>
      </c>
      <c r="B79" s="5" t="s">
        <v>82</v>
      </c>
      <c r="C79" s="6">
        <v>15000</v>
      </c>
    </row>
    <row r="80" spans="1:3">
      <c r="A80" s="5">
        <v>6003</v>
      </c>
      <c r="B80" s="5" t="s">
        <v>83</v>
      </c>
      <c r="C80" s="6">
        <v>33536.51</v>
      </c>
    </row>
    <row r="81" spans="1:3">
      <c r="A81" s="5">
        <v>6006</v>
      </c>
      <c r="B81" s="5" t="s">
        <v>84</v>
      </c>
      <c r="C81" s="6">
        <v>0</v>
      </c>
    </row>
    <row r="82" spans="1:3">
      <c r="A82" s="5">
        <v>6007</v>
      </c>
      <c r="B82" s="5" t="s">
        <v>85</v>
      </c>
      <c r="C82" s="6">
        <v>41318.79</v>
      </c>
    </row>
    <row r="83" spans="1:3">
      <c r="A83" s="5">
        <v>7101</v>
      </c>
      <c r="B83" s="5" t="s">
        <v>86</v>
      </c>
      <c r="C83" s="6">
        <v>438922.46</v>
      </c>
    </row>
    <row r="84" spans="1:3">
      <c r="A84" s="5">
        <v>7102</v>
      </c>
      <c r="B84" s="5" t="s">
        <v>87</v>
      </c>
      <c r="C84" s="6">
        <v>101433.89</v>
      </c>
    </row>
    <row r="85" spans="1:3">
      <c r="A85" s="5">
        <v>7104</v>
      </c>
      <c r="B85" s="5" t="s">
        <v>88</v>
      </c>
      <c r="C85" s="6">
        <v>2925</v>
      </c>
    </row>
    <row r="86" spans="1:3">
      <c r="A86" s="5">
        <v>7113</v>
      </c>
      <c r="B86" s="5" t="s">
        <v>89</v>
      </c>
      <c r="C86" s="6">
        <v>19707.69</v>
      </c>
    </row>
    <row r="87" spans="1:3">
      <c r="A87" s="5">
        <v>7114</v>
      </c>
      <c r="B87" s="5" t="s">
        <v>90</v>
      </c>
      <c r="C87" s="6">
        <v>57135.95</v>
      </c>
    </row>
    <row r="88" spans="1:3">
      <c r="A88" s="5">
        <v>7201</v>
      </c>
      <c r="B88" s="5" t="s">
        <v>91</v>
      </c>
      <c r="C88" s="6">
        <v>39889.1</v>
      </c>
    </row>
    <row r="89" spans="1:3">
      <c r="A89" s="5">
        <v>7203</v>
      </c>
      <c r="B89" s="5" t="s">
        <v>92</v>
      </c>
      <c r="C89" s="6">
        <v>43092.5</v>
      </c>
    </row>
    <row r="90" spans="1:3">
      <c r="A90" s="5">
        <v>7205</v>
      </c>
      <c r="B90" s="5" t="s">
        <v>93</v>
      </c>
      <c r="C90" s="6">
        <v>7827.7</v>
      </c>
    </row>
    <row r="91" spans="1:3">
      <c r="A91" s="5">
        <v>7207</v>
      </c>
      <c r="B91" s="5" t="s">
        <v>94</v>
      </c>
      <c r="C91" s="6">
        <v>76068.41</v>
      </c>
    </row>
    <row r="92" spans="1:3">
      <c r="A92" s="5">
        <v>7300</v>
      </c>
      <c r="B92" s="5" t="s">
        <v>95</v>
      </c>
      <c r="C92" s="6">
        <v>12288.74</v>
      </c>
    </row>
    <row r="93" spans="1:3">
      <c r="A93" s="5">
        <v>7310</v>
      </c>
      <c r="B93" s="5" t="s">
        <v>96</v>
      </c>
      <c r="C93" s="6">
        <v>6926.49</v>
      </c>
    </row>
    <row r="94" spans="1:3">
      <c r="A94" s="5">
        <v>7401</v>
      </c>
      <c r="B94" s="5" t="s">
        <v>97</v>
      </c>
      <c r="C94" s="6">
        <v>2925.93</v>
      </c>
    </row>
    <row r="95" spans="1:3">
      <c r="A95" s="5">
        <v>7402</v>
      </c>
      <c r="B95" s="5" t="s">
        <v>98</v>
      </c>
      <c r="C95" s="6">
        <v>129.14</v>
      </c>
    </row>
    <row r="96" spans="1:3">
      <c r="A96" s="5">
        <v>7403</v>
      </c>
      <c r="B96" s="5" t="s">
        <v>99</v>
      </c>
      <c r="C96" s="6">
        <v>183.02</v>
      </c>
    </row>
    <row r="97" spans="1:3">
      <c r="A97" s="5">
        <v>7405</v>
      </c>
      <c r="B97" s="5" t="s">
        <v>100</v>
      </c>
      <c r="C97" s="6">
        <v>12724.09</v>
      </c>
    </row>
    <row r="98" spans="1:3">
      <c r="A98" s="5">
        <v>7511</v>
      </c>
      <c r="B98" s="5" t="s">
        <v>101</v>
      </c>
      <c r="C98" s="6">
        <v>2632.81</v>
      </c>
    </row>
    <row r="99" spans="1:3">
      <c r="A99" s="5">
        <v>7512</v>
      </c>
      <c r="B99" s="5" t="s">
        <v>102</v>
      </c>
      <c r="C99" s="6">
        <v>362.22</v>
      </c>
    </row>
    <row r="100" spans="1:3">
      <c r="A100" s="5">
        <v>7513</v>
      </c>
      <c r="B100" s="5" t="s">
        <v>103</v>
      </c>
      <c r="C100" s="6">
        <v>120.53</v>
      </c>
    </row>
    <row r="101" spans="1:3">
      <c r="A101" s="5">
        <v>7521</v>
      </c>
      <c r="B101" s="5" t="s">
        <v>104</v>
      </c>
      <c r="C101" s="6">
        <v>0</v>
      </c>
    </row>
    <row r="102" spans="1:3">
      <c r="A102" s="5">
        <v>7523</v>
      </c>
      <c r="B102" s="5" t="s">
        <v>105</v>
      </c>
      <c r="C102" s="6">
        <v>225.24</v>
      </c>
    </row>
    <row r="103" spans="1:3">
      <c r="A103" s="5">
        <v>7524</v>
      </c>
      <c r="B103" s="5" t="s">
        <v>106</v>
      </c>
      <c r="C103" s="6">
        <v>626.24</v>
      </c>
    </row>
    <row r="104" spans="1:3">
      <c r="A104" s="5">
        <v>7550</v>
      </c>
      <c r="B104" s="5" t="s">
        <v>107</v>
      </c>
      <c r="C104" s="6">
        <v>22.83</v>
      </c>
    </row>
    <row r="105" spans="1:3">
      <c r="A105" s="5">
        <v>8001</v>
      </c>
      <c r="B105" s="5" t="s">
        <v>108</v>
      </c>
      <c r="C105" s="6">
        <v>10576.59</v>
      </c>
    </row>
    <row r="106" spans="1:3">
      <c r="A106" s="5">
        <v>8002</v>
      </c>
      <c r="B106" s="5" t="s">
        <v>109</v>
      </c>
      <c r="C106" s="6">
        <v>3590.4</v>
      </c>
    </row>
    <row r="107" spans="1:3">
      <c r="A107" s="5">
        <v>8005</v>
      </c>
      <c r="B107" s="5" t="s">
        <v>110</v>
      </c>
      <c r="C107" s="6">
        <v>222.5</v>
      </c>
    </row>
    <row r="108" spans="1:3">
      <c r="A108" s="5">
        <v>8007</v>
      </c>
      <c r="B108" s="5" t="s">
        <v>111</v>
      </c>
      <c r="C108" s="6">
        <v>366.97</v>
      </c>
    </row>
    <row r="109" spans="1:3">
      <c r="A109" s="5">
        <v>8009</v>
      </c>
      <c r="B109" s="5" t="s">
        <v>112</v>
      </c>
      <c r="C109" s="6">
        <v>4236.28</v>
      </c>
    </row>
    <row r="110" spans="1:3">
      <c r="A110" s="5">
        <v>8011</v>
      </c>
      <c r="B110" s="5" t="s">
        <v>113</v>
      </c>
      <c r="C110" s="6">
        <v>2045.88</v>
      </c>
    </row>
    <row r="111" spans="1:3">
      <c r="A111" s="5">
        <v>8012</v>
      </c>
      <c r="B111" s="5" t="s">
        <v>114</v>
      </c>
      <c r="C111" s="6">
        <v>3515.34</v>
      </c>
    </row>
    <row r="112" spans="1:3">
      <c r="A112" s="5">
        <v>8013</v>
      </c>
      <c r="B112" s="5" t="s">
        <v>115</v>
      </c>
      <c r="C112" s="6">
        <v>1063.44</v>
      </c>
    </row>
    <row r="113" spans="1:3">
      <c r="A113" s="5">
        <v>8014</v>
      </c>
      <c r="B113" s="5" t="s">
        <v>116</v>
      </c>
      <c r="C113" s="6">
        <v>2230.02</v>
      </c>
    </row>
    <row r="114" spans="1:3">
      <c r="A114" s="5">
        <v>8015</v>
      </c>
      <c r="B114" s="5" t="s">
        <v>117</v>
      </c>
      <c r="C114" s="6">
        <v>3327.81</v>
      </c>
    </row>
    <row r="115" spans="1:3">
      <c r="A115" s="5">
        <v>8050</v>
      </c>
      <c r="B115" s="5" t="s">
        <v>118</v>
      </c>
      <c r="C115" s="6">
        <v>31728.43</v>
      </c>
    </row>
    <row r="116" spans="1:3">
      <c r="A116" s="5">
        <v>9010</v>
      </c>
      <c r="B116" s="5" t="s">
        <v>119</v>
      </c>
      <c r="C116" s="6">
        <v>-1377.17</v>
      </c>
    </row>
    <row r="117" spans="1:3">
      <c r="A117" s="5">
        <v>9020</v>
      </c>
      <c r="B117" s="5" t="s">
        <v>120</v>
      </c>
      <c r="C117" s="6">
        <v>11981.68</v>
      </c>
    </row>
    <row r="118" spans="1:3">
      <c r="A118" s="5">
        <v>9021</v>
      </c>
      <c r="B118" s="5" t="s">
        <v>121</v>
      </c>
      <c r="C118" s="6">
        <v>1853.23</v>
      </c>
    </row>
    <row r="119" spans="1:3">
      <c r="A119" s="5">
        <v>9022</v>
      </c>
      <c r="B119" s="5" t="s">
        <v>122</v>
      </c>
      <c r="C119" s="6">
        <v>7947.18</v>
      </c>
    </row>
    <row r="120" spans="1:3">
      <c r="A120" s="5">
        <v>9023</v>
      </c>
      <c r="B120" s="5" t="s">
        <v>123</v>
      </c>
      <c r="C120" s="6">
        <v>1324.9</v>
      </c>
    </row>
    <row r="121" spans="1:3">
      <c r="A121" s="5">
        <v>9040</v>
      </c>
      <c r="B121" s="5" t="s">
        <v>124</v>
      </c>
      <c r="C121" s="6">
        <v>106.89</v>
      </c>
    </row>
    <row r="122" spans="1:3">
      <c r="A122" s="5">
        <v>9997</v>
      </c>
      <c r="B122" s="5" t="s">
        <v>125</v>
      </c>
      <c r="C122" s="6">
        <v>0</v>
      </c>
    </row>
    <row r="123" spans="1:3">
      <c r="A123" s="5">
        <v>9998</v>
      </c>
      <c r="B123" s="5" t="s">
        <v>126</v>
      </c>
      <c r="C123" s="6">
        <v>0</v>
      </c>
    </row>
    <row r="124" ht="17.55" spans="1:3">
      <c r="A124" s="7">
        <v>9999</v>
      </c>
      <c r="B124" s="7" t="s">
        <v>127</v>
      </c>
      <c r="C124" s="8">
        <v>0</v>
      </c>
    </row>
  </sheetData>
  <autoFilter xmlns:etc="http://www.wps.cn/officeDocument/2017/etCustomData" ref="A6:C12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Formatted TB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nova</cp:lastModifiedBy>
  <dcterms:created xsi:type="dcterms:W3CDTF">2026-02-08T07:49:00Z</dcterms:created>
  <dcterms:modified xsi:type="dcterms:W3CDTF">2026-03-26T13:22:17Z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0E1E3C0D6AA0E5C09CE5C469C9FBC46A_42</vt:lpwstr>
  </property>
  <property fmtid="{D5CDD505-2E9C-101B-9397-08002B2CF9AE}" pid="3" name="KSOProductBuildVer">
    <vt:lpwstr>1033-6.10.1.8197</vt:lpwstr>
  </property>
</Properties>
</file>